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s" sheetId="1" state="visible" r:id="rId3"/>
    <sheet name="Summary" sheetId="2" state="visible" r:id="rId4"/>
    <sheet name="ByPattern" sheetId="3" state="visible" r:id="rId5"/>
    <sheet name="DecisionRules" sheetId="4" state="visible" r:id="rId6"/>
    <sheet name="Mgmt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<sst xmlns="http://schemas.openxmlformats.org/spreadsheetml/2006/main" count="977" uniqueCount="465">
  <si>
    <t xml:space="preserve">ID</t>
  </si>
  <si>
    <t xml:space="preserve">Date</t>
  </si>
  <si>
    <t xml:space="preserve">Time ET</t>
  </si>
  <si>
    <t xml:space="preserve">Time IL</t>
  </si>
  <si>
    <t xml:space="preserve">Sys</t>
  </si>
  <si>
    <t xml:space="preserve">Pattern</t>
  </si>
  <si>
    <t xml:space="preserve">Dir</t>
  </si>
  <si>
    <t xml:space="preserve">Day Type</t>
  </si>
  <si>
    <t xml:space="preserve">Entry</t>
  </si>
  <si>
    <t xml:space="preserve">Stop initial</t>
  </si>
  <si>
    <t xml:space="preserve">Stop final</t>
  </si>
  <si>
    <t xml:space="preserve">Risk pts</t>
  </si>
  <si>
    <t xml:space="preserve">T1 anchor</t>
  </si>
  <si>
    <t xml:space="preserve">T1 R</t>
  </si>
  <si>
    <t xml:space="preserve">T2 anchor</t>
  </si>
  <si>
    <t xml:space="preserve">T3</t>
  </si>
  <si>
    <t xml:space="preserve">T1 hit</t>
  </si>
  <si>
    <t xml:space="preserve">BE moved</t>
  </si>
  <si>
    <t xml:space="preserve">T2 hit</t>
  </si>
  <si>
    <t xml:space="preserve">MFE pts</t>
  </si>
  <si>
    <t xml:space="preserve">MAE pts</t>
  </si>
  <si>
    <t xml:space="preserve">Captured pts</t>
  </si>
  <si>
    <t xml:space="preserve">Exit reason</t>
  </si>
  <si>
    <t xml:space="preserve">Outcome</t>
  </si>
  <si>
    <t xml:space="preserve">PnL $</t>
  </si>
  <si>
    <t xml:space="preserve">True R</t>
  </si>
  <si>
    <t xml:space="preserve">Bars</t>
  </si>
  <si>
    <t xml:space="preserve">Flags</t>
  </si>
  <si>
    <t xml:space="preserve">2026-06-05</t>
  </si>
  <si>
    <t xml:space="preserve">14:15</t>
  </si>
  <si>
    <t xml:space="preserve">21:15</t>
  </si>
  <si>
    <t xml:space="preserve">BEAR_FLAG_SHORT</t>
  </si>
  <si>
    <t xml:space="preserve">SHORT</t>
  </si>
  <si>
    <t xml:space="preserve">Variation</t>
  </si>
  <si>
    <t xml:space="preserve">YES</t>
  </si>
  <si>
    <t xml:space="preserve">STOP_HIT</t>
  </si>
  <si>
    <t xml:space="preserve">WIN</t>
  </si>
  <si>
    <t xml:space="preserve">HTLB</t>
  </si>
  <si>
    <t xml:space="preserve">15:05</t>
  </si>
  <si>
    <t xml:space="preserve">22:05</t>
  </si>
  <si>
    <t xml:space="preserve">REACTIVE_SHORT</t>
  </si>
  <si>
    <t xml:space="preserve">2026-06-09</t>
  </si>
  <si>
    <t xml:space="preserve">09:50</t>
  </si>
  <si>
    <t xml:space="preserve">16:50</t>
  </si>
  <si>
    <t xml:space="preserve">UNKNOWN</t>
  </si>
  <si>
    <t xml:space="preserve">TIME_STOP</t>
  </si>
  <si>
    <t xml:space="preserve">12:00</t>
  </si>
  <si>
    <t xml:space="preserve">19:00</t>
  </si>
  <si>
    <t xml:space="preserve">manual</t>
  </si>
  <si>
    <t xml:space="preserve">BE</t>
  </si>
  <si>
    <t xml:space="preserve">RISK 36pt</t>
  </si>
  <si>
    <t xml:space="preserve">2026-06-10</t>
  </si>
  <si>
    <t xml:space="preserve">11:09</t>
  </si>
  <si>
    <t xml:space="preserve">18:09</t>
  </si>
  <si>
    <t xml:space="preserve">HFE</t>
  </si>
  <si>
    <t xml:space="preserve">LONG</t>
  </si>
  <si>
    <t xml:space="preserve">LOSS</t>
  </si>
  <si>
    <t xml:space="preserve">11:10</t>
  </si>
  <si>
    <t xml:space="preserve">18:10</t>
  </si>
  <si>
    <t xml:space="preserve">Normal</t>
  </si>
  <si>
    <t xml:space="preserve">11:15</t>
  </si>
  <si>
    <t xml:space="preserve">18:15</t>
  </si>
  <si>
    <t xml:space="preserve">2026-06-11</t>
  </si>
  <si>
    <t xml:space="preserve">09:30</t>
  </si>
  <si>
    <t xml:space="preserve">16:30</t>
  </si>
  <si>
    <t xml:space="preserve">ZLR</t>
  </si>
  <si>
    <t xml:space="preserve">TLB</t>
  </si>
  <si>
    <t xml:space="preserve">10:10</t>
  </si>
  <si>
    <t xml:space="preserve">17:10</t>
  </si>
  <si>
    <t xml:space="preserve">Trend_Normal</t>
  </si>
  <si>
    <t xml:space="preserve">10:15</t>
  </si>
  <si>
    <t xml:space="preserve">17:15</t>
  </si>
  <si>
    <t xml:space="preserve">RISK 39pt</t>
  </si>
  <si>
    <t xml:space="preserve">RISK 34pt</t>
  </si>
  <si>
    <t xml:space="preserve">10:20</t>
  </si>
  <si>
    <t xml:space="preserve">17:20</t>
  </si>
  <si>
    <t xml:space="preserve">RISK 46pt</t>
  </si>
  <si>
    <t xml:space="preserve">10:30</t>
  </si>
  <si>
    <t xml:space="preserve">17:30</t>
  </si>
  <si>
    <t xml:space="preserve">10:35</t>
  </si>
  <si>
    <t xml:space="preserve">17:35</t>
  </si>
  <si>
    <t xml:space="preserve">10:50</t>
  </si>
  <si>
    <t xml:space="preserve">17:50</t>
  </si>
  <si>
    <t xml:space="preserve">RISK 31pt</t>
  </si>
  <si>
    <t xml:space="preserve">11:30</t>
  </si>
  <si>
    <t xml:space="preserve">18:30</t>
  </si>
  <si>
    <t xml:space="preserve">11:40</t>
  </si>
  <si>
    <t xml:space="preserve">18:40</t>
  </si>
  <si>
    <t xml:space="preserve">GHOST</t>
  </si>
  <si>
    <t xml:space="preserve">RISK 42pt</t>
  </si>
  <si>
    <t xml:space="preserve">11:55</t>
  </si>
  <si>
    <t xml:space="preserve">18:55</t>
  </si>
  <si>
    <t xml:space="preserve">12:15</t>
  </si>
  <si>
    <t xml:space="preserve">19:15</t>
  </si>
  <si>
    <t xml:space="preserve">REACTIVE_LONG</t>
  </si>
  <si>
    <t xml:space="preserve">12:25</t>
  </si>
  <si>
    <t xml:space="preserve">19:25</t>
  </si>
  <si>
    <t xml:space="preserve">12:30</t>
  </si>
  <si>
    <t xml:space="preserve">19:30</t>
  </si>
  <si>
    <t xml:space="preserve">RISK 26pt</t>
  </si>
  <si>
    <t xml:space="preserve">12:45</t>
  </si>
  <si>
    <t xml:space="preserve">19:45</t>
  </si>
  <si>
    <t xml:space="preserve">12:50</t>
  </si>
  <si>
    <t xml:space="preserve">19:50</t>
  </si>
  <si>
    <t xml:space="preserve">12:55</t>
  </si>
  <si>
    <t xml:space="preserve">19:55</t>
  </si>
  <si>
    <t xml:space="preserve">RISK 33pt</t>
  </si>
  <si>
    <t xml:space="preserve">13:00</t>
  </si>
  <si>
    <t xml:space="preserve">20:00</t>
  </si>
  <si>
    <t xml:space="preserve">13:10</t>
  </si>
  <si>
    <t xml:space="preserve">20:10</t>
  </si>
  <si>
    <t xml:space="preserve">13:40</t>
  </si>
  <si>
    <t xml:space="preserve">20:40</t>
  </si>
  <si>
    <t xml:space="preserve">13:45</t>
  </si>
  <si>
    <t xml:space="preserve">20:45</t>
  </si>
  <si>
    <t xml:space="preserve">13:50</t>
  </si>
  <si>
    <t xml:space="preserve">20:50</t>
  </si>
  <si>
    <t xml:space="preserve">13:55</t>
  </si>
  <si>
    <t xml:space="preserve">20:55</t>
  </si>
  <si>
    <t xml:space="preserve">14:00</t>
  </si>
  <si>
    <t xml:space="preserve">21:00</t>
  </si>
  <si>
    <t xml:space="preserve">14:05</t>
  </si>
  <si>
    <t xml:space="preserve">21:05</t>
  </si>
  <si>
    <t xml:space="preserve">RISK 35pt</t>
  </si>
  <si>
    <t xml:space="preserve">14:10</t>
  </si>
  <si>
    <t xml:space="preserve">21:10</t>
  </si>
  <si>
    <t xml:space="preserve">14:20</t>
  </si>
  <si>
    <t xml:space="preserve">21:20</t>
  </si>
  <si>
    <t xml:space="preserve">RISK 30pt</t>
  </si>
  <si>
    <t xml:space="preserve">14:25</t>
  </si>
  <si>
    <t xml:space="preserve">21:25</t>
  </si>
  <si>
    <t xml:space="preserve">14:45</t>
  </si>
  <si>
    <t xml:space="preserve">21:45</t>
  </si>
  <si>
    <t xml:space="preserve">15:00</t>
  </si>
  <si>
    <t xml:space="preserve">22:00</t>
  </si>
  <si>
    <t xml:space="preserve">15:10</t>
  </si>
  <si>
    <t xml:space="preserve">22:10</t>
  </si>
  <si>
    <t xml:space="preserve">2026-06-12</t>
  </si>
  <si>
    <t xml:space="preserve">09:35</t>
  </si>
  <si>
    <t xml:space="preserve">16:35</t>
  </si>
  <si>
    <t xml:space="preserve">GB100</t>
  </si>
  <si>
    <t xml:space="preserve">RISK 48pt</t>
  </si>
  <si>
    <t xml:space="preserve">09:55</t>
  </si>
  <si>
    <t xml:space="preserve">16:55</t>
  </si>
  <si>
    <t xml:space="preserve">10:00</t>
  </si>
  <si>
    <t xml:space="preserve">17:00</t>
  </si>
  <si>
    <t xml:space="preserve">10:05</t>
  </si>
  <si>
    <t xml:space="preserve">17:05</t>
  </si>
  <si>
    <t xml:space="preserve">RISK 37pt</t>
  </si>
  <si>
    <t xml:space="preserve">RISK 44pt</t>
  </si>
  <si>
    <t xml:space="preserve">10:45</t>
  </si>
  <si>
    <t xml:space="preserve">17:45</t>
  </si>
  <si>
    <t xml:space="preserve">RISK 32pt</t>
  </si>
  <si>
    <t xml:space="preserve">11:22</t>
  </si>
  <si>
    <t xml:space="preserve">18:22</t>
  </si>
  <si>
    <t xml:space="preserve">INITIATIVE_LONG</t>
  </si>
  <si>
    <t xml:space="preserve">11:45</t>
  </si>
  <si>
    <t xml:space="preserve">18:45</t>
  </si>
  <si>
    <t xml:space="preserve">INITIATIVE_SHORT</t>
  </si>
  <si>
    <t xml:space="preserve">11:50</t>
  </si>
  <si>
    <t xml:space="preserve">18:50</t>
  </si>
  <si>
    <t xml:space="preserve">MEMS26 — Summary (auto)</t>
  </si>
  <si>
    <t xml:space="preserve">Total</t>
  </si>
  <si>
    <t xml:space="preserve">Wins</t>
  </si>
  <si>
    <t xml:space="preserve">Losses</t>
  </si>
  <si>
    <t xml:space="preserve">Win %</t>
  </si>
  <si>
    <t xml:space="preserve">Net $</t>
  </si>
  <si>
    <t xml:space="preserve">Profit factor</t>
  </si>
  <si>
    <t xml:space="preserve">Avg risk pts</t>
  </si>
  <si>
    <t xml:space="preserve">Net $ 06-12 only</t>
  </si>
  <si>
    <t xml:space="preserve">N</t>
  </si>
  <si>
    <t xml:space="preserve">איך המערכת קובעת — חוקי ההחלטה (מקור: config/stop_anchors.yaml + targets.yaml + trade_manager)</t>
  </si>
  <si>
    <t xml:space="preserve">שלב</t>
  </si>
  <si>
    <t xml:space="preserve">חוק</t>
  </si>
  <si>
    <t xml:space="preserve">כמות חוזים</t>
  </si>
  <si>
    <t xml:space="preserve">לפי סיכון: עד 15 נק׳=3 חוזים · עד 25=2 · מעל 25=1. תקרה: אסטרטגית 3 / טקטית 2. הסופי = הזהיר מבין השלושה.</t>
  </si>
  <si>
    <t xml:space="preserve">תקרת סיכון</t>
  </si>
  <si>
    <t xml:space="preserve">25 נק׳ לחוזה ($125). שערי pre_fire: מינ׳ 2 נק׳ / מקס׳ 60 נק׳ (דגלים, פעילים מהיום).</t>
  </si>
  <si>
    <t xml:space="preserve">סטופ — עיקרון</t>
  </si>
  <si>
    <t xml:space="preserve">עוגן מבני פר-תבנית + 3 טיקים מעבר לקצה. הסטופ המבני תמיד גובר; ATR לא מזיז אותו. רצפה 4 טיקים.</t>
  </si>
  <si>
    <t xml:space="preserve">עוגן סטופ פר-תבנית</t>
  </si>
  <si>
    <t xml:space="preserve">תבנית</t>
  </si>
  <si>
    <t xml:space="preserve">עוגן</t>
  </si>
  <si>
    <t xml:space="preserve">ZLR (S4 המשך)</t>
  </si>
  <si>
    <t xml:space="preserve">נמוך/גבוה אשכול — 4 ברים אחורה</t>
  </si>
  <si>
    <t xml:space="preserve">TLB (S4 המשך)</t>
  </si>
  <si>
    <t xml:space="preserve">מאז פסגת קו-המגמה — עד 8 ברים</t>
  </si>
  <si>
    <t xml:space="preserve">TT (S4 המשך)</t>
  </si>
  <si>
    <t xml:space="preserve">יציאת ZL — עד 9 ברים</t>
  </si>
  <si>
    <t xml:space="preserve">VEGAS (S4 היפוך)</t>
  </si>
  <si>
    <t xml:space="preserve">קיצון סווינג · T1×0.75 · T2×1.0 (measured)</t>
  </si>
  <si>
    <t xml:space="preserve">GHOST (S4 היפוך)</t>
  </si>
  <si>
    <t xml:space="preserve">כתף · T1 cap 0.5×measured</t>
  </si>
  <si>
    <t xml:space="preserve">HTLB (S4 היפוך)</t>
  </si>
  <si>
    <t xml:space="preserve">קיצון הקונסולידציה (לא בר-הפריצה)</t>
  </si>
  <si>
    <t xml:space="preserve">HFE (S4 היפוך)</t>
  </si>
  <si>
    <t xml:space="preserve">בר-הקיצון של CCI ±200 · סולם T1 מדרגה מטה (התבנית החלשה). ⚠️ כש-CCI נשאר בקיצון — אותו עוגן משותף לכמה כניסות (הבעיה של היום).</t>
  </si>
  <si>
    <t xml:space="preserve">Reactive (S2)</t>
  </si>
  <si>
    <t xml:space="preserve">אזור תמיכה/התנגדות — 4 ברים</t>
  </si>
  <si>
    <t xml:space="preserve">Initiative/Flag (S2)</t>
  </si>
  <si>
    <t xml:space="preserve">בר-הפריצה (הדוק בכוונה)</t>
  </si>
  <si>
    <t xml:space="preserve">Double B/T (S2)</t>
  </si>
  <si>
    <t xml:space="preserve">התחתית/פסגה השנייה</t>
  </si>
  <si>
    <t xml:space="preserve">HnS (S2)</t>
  </si>
  <si>
    <t xml:space="preserve">הכתף הימנית (לא ה-neckline)</t>
  </si>
  <si>
    <t xml:space="preserve">יעדים</t>
  </si>
  <si>
    <t xml:space="preserve">רכיב</t>
  </si>
  <si>
    <t xml:space="preserve">T1 — סולם לפי סיכון</t>
  </si>
  <si>
    <t xml:space="preserve">עד 5 נק׳→1.0R · עד 10→0.75R · עד 15→0.65R · עד 20→0.5R · עד 25→0.4R. תבניות היפוך ×0.8. רצפת T1: 3 נק׳. HFE: מדרגה אחת מטה.</t>
  </si>
  <si>
    <t xml:space="preserve">T2/T3 — S4</t>
  </si>
  <si>
    <t xml:space="preserve">אין (None) — אופציה 1: מנגנון חציית-CCI (סע׳ 1.6) נדחה ולא מומש. לכן ב-S4 פגיעת T2 בלתי-אפשרית מבנית.</t>
  </si>
  <si>
    <t xml:space="preserve">T2 — S2</t>
  </si>
  <si>
    <t xml:space="preserve">לפי day_type targets: ‎2.0R (המשך) / ‎1.5R (היפוך) מהכניסה.</t>
  </si>
  <si>
    <t xml:space="preserve">BE אחרי T1</t>
  </si>
  <si>
    <t xml:space="preserve">בפגיעת T1: סטופ זז ל-כניסה+טיק (SMART_BE). הראנר נשאר בלי יעד ובלי trail — יוצא ב-BE / TIME_STOP / סיגנל נגדי.</t>
  </si>
  <si>
    <t xml:space="preserve">‎90 דק׳ קבוע בקוד (S4). הערכים פר-day_type ב-targets.yaml לא נצרכים — באג ידוע (FIX 5).</t>
  </si>
  <si>
    <t xml:space="preserve">נר ענק (&gt;25 נק׳)</t>
  </si>
  <si>
    <t xml:space="preserve">חוזה 1 · יעד = הקרוב מבין 1R / רמה מבנית / 50-75% מהטווח שנותר · BE אחרי 15 נק׳ · spike ראשון בלבד.</t>
  </si>
  <si>
    <t xml:space="preserve">שערים וקירור</t>
  </si>
  <si>
    <t xml:space="preserve">שער</t>
  </si>
  <si>
    <t xml:space="preserve">pre_fire R:R</t>
  </si>
  <si>
    <t xml:space="preserve">‎R:R≥1.0 על הראנר (T2; אם T2=None — מכפיל צפוי 2.0/1.5R). תוקן 06-11 — לפני כן נמדד על T1 וחסם הכול.</t>
  </si>
  <si>
    <t xml:space="preserve">קירור 2-סטופים (ζ.A4)</t>
  </si>
  <si>
    <t xml:space="preserve">2 יציאות STOP רצופות → חסימה 30 דק׳ — גלובלי, לא פר-תבנית (לכן לא עצר את ה-HFE היום).</t>
  </si>
  <si>
    <t xml:space="preserve">שומר אשכול (ζ.A5)</t>
  </si>
  <si>
    <t xml:space="preserve">5 עסקאות ב-60 שניות → חסימה 5 דק׳.</t>
  </si>
  <si>
    <t xml:space="preserve">אין (פערים)</t>
  </si>
  <si>
    <t xml:space="preserve">אין קירור פר-תבנית+כיוון אחרי סטופ · אין מפסק הפסדים-רצופים פר-תבנית · אין trail לראנר — שלושת הפערים המרכזיים שזוהו היום.</t>
  </si>
  <si>
    <t xml:space="preserve">Trade ID</t>
  </si>
  <si>
    <t xml:space="preserve">Timestamp</t>
  </si>
  <si>
    <t xml:space="preserve">Action</t>
  </si>
  <si>
    <t xml:space="preserve">Value</t>
  </si>
  <si>
    <t xml:space="preserve">2026-06-05 21:33:03.253070+03:00</t>
  </si>
  <si>
    <t xml:space="preserve">T1_HIT</t>
  </si>
  <si>
    <t xml:space="preserve">{'ts': '2026-06-05T18:30:00+00:00'}</t>
  </si>
  <si>
    <t xml:space="preserve">2026-06-05 21:33:03.254030+03:00</t>
  </si>
  <si>
    <t xml:space="preserve">SMART_BE</t>
  </si>
  <si>
    <t xml:space="preserve">{'to': 7443.75, 'from': 7457.03125}</t>
  </si>
  <si>
    <t xml:space="preserve">2026-06-05 21:47:19.252714+03:00</t>
  </si>
  <si>
    <t xml:space="preserve">T2_HIT</t>
  </si>
  <si>
    <t xml:space="preserve">{'ts': '2026-06-05T18:45:00+00:00'}</t>
  </si>
  <si>
    <t xml:space="preserve">2026-06-08 14:15:02.666142+03:00</t>
  </si>
  <si>
    <t xml:space="preserve">{'ts': '2026-06-08T11:10:00+00:00', 'stop': 7443.75}</t>
  </si>
  <si>
    <t xml:space="preserve">2026-06-05 21:20:01.281074+03:00</t>
  </si>
  <si>
    <t xml:space="preserve">{'ts': '2026-06-05T18:20:00+00:00'}</t>
  </si>
  <si>
    <t xml:space="preserve">2026-06-05 21:20:01.306513+03:00</t>
  </si>
  <si>
    <t xml:space="preserve">{'to': 7443.5, 'from': 7447.25}</t>
  </si>
  <si>
    <t xml:space="preserve">2026-06-05 21:20:53.448825+03:00</t>
  </si>
  <si>
    <t xml:space="preserve">{'ts': '2026-06-05T18:20:00+00:00', 'stop': 7443.5}</t>
  </si>
  <si>
    <t xml:space="preserve">2026-06-05 22:10:02.450515+03:00</t>
  </si>
  <si>
    <t xml:space="preserve">{'ts': '2026-06-05T19:10:00+00:00'}</t>
  </si>
  <si>
    <t xml:space="preserve">2026-06-05 22:10:02.450622+03:00</t>
  </si>
  <si>
    <t xml:space="preserve">{'to': 7414.0, 'from': 7418.0}</t>
  </si>
  <si>
    <t xml:space="preserve">2026-06-05 22:10:02.456305+03:00</t>
  </si>
  <si>
    <t xml:space="preserve">2026-06-08 11:03:06.921549+03:00</t>
  </si>
  <si>
    <t xml:space="preserve">{'ts': '2026-06-08T08:00:00+00:00', 'stop': 7414.0}</t>
  </si>
  <si>
    <t xml:space="preserve">2026-06-09 16:55:02.925093+03:00</t>
  </si>
  <si>
    <t xml:space="preserve">{'ts': '2026-06-09T13:55:00+00:00'}</t>
  </si>
  <si>
    <t xml:space="preserve">2026-06-09 16:55:02.926104+03:00</t>
  </si>
  <si>
    <t xml:space="preserve">{'to': 7489.0, 'from': 7491.75}</t>
  </si>
  <si>
    <t xml:space="preserve">2026-06-09 16:55:02.941585+03:00</t>
  </si>
  <si>
    <t xml:space="preserve">2026-06-10 18:10:16.689369+03:00</t>
  </si>
  <si>
    <t xml:space="preserve">{'ts': '2026-06-10T15:10:00+00:00', 'stop': 7337.5}</t>
  </si>
  <si>
    <t xml:space="preserve">2026-06-10 18:15:05.143949+03:00</t>
  </si>
  <si>
    <t xml:space="preserve">{'ts': '2026-06-10T15:15:00+00:00', 'stop': 7337.25}</t>
  </si>
  <si>
    <t xml:space="preserve">2026-06-10 18:20:03.751883+03:00</t>
  </si>
  <si>
    <t xml:space="preserve">{'ts': '2026-06-10T15:20:00+00:00', 'stop': 7325.75}</t>
  </si>
  <si>
    <t xml:space="preserve">2026-06-11 16:35:01.653118+03:00</t>
  </si>
  <si>
    <t xml:space="preserve">{'ts': '2026-06-11T13:35:00+00:00'}</t>
  </si>
  <si>
    <t xml:space="preserve">2026-06-11 16:35:01.654204+03:00</t>
  </si>
  <si>
    <t xml:space="preserve">{'to': 7306.0, 'from': 7313.5}</t>
  </si>
  <si>
    <t xml:space="preserve">2026-06-11 16:45:52.874437+03:00</t>
  </si>
  <si>
    <t xml:space="preserve">{'ts': '2026-06-11T13:45:00+00:00', 'stop': 7306.0}</t>
  </si>
  <si>
    <t xml:space="preserve">2026-06-11 16:55:01.615159+03:00</t>
  </si>
  <si>
    <t xml:space="preserve">{'ts': '2026-06-11T13:55:00+00:00'}</t>
  </si>
  <si>
    <t xml:space="preserve">2026-06-11 16:55:01.615321+03:00</t>
  </si>
  <si>
    <t xml:space="preserve">{'to': 7306.5, 'from': 7282.25}</t>
  </si>
  <si>
    <t xml:space="preserve">2026-06-11 17:11:03.332047+03:00</t>
  </si>
  <si>
    <t xml:space="preserve">{'ts': '2026-06-11T14:10:00+00:00', 'stop': 7306.5}</t>
  </si>
  <si>
    <t xml:space="preserve">2026-06-11 17:15:02.807204+03:00</t>
  </si>
  <si>
    <t xml:space="preserve">{'ts': '2026-06-11T14:15:00+00:00'}</t>
  </si>
  <si>
    <t xml:space="preserve">2026-06-11 17:15:02.807305+03:00</t>
  </si>
  <si>
    <t xml:space="preserve">{'to': 7320.5, 'from': 7336.5}</t>
  </si>
  <si>
    <t xml:space="preserve">2026-06-11 17:55:57.296503+03:00</t>
  </si>
  <si>
    <t xml:space="preserve">{'ts': '2026-06-11T14:55:00+00:00'}</t>
  </si>
  <si>
    <t xml:space="preserve">2026-06-11 17:55:57.296727+03:00</t>
  </si>
  <si>
    <t xml:space="preserve">{'to': 7297.25, 'from': 7336.5}</t>
  </si>
  <si>
    <t xml:space="preserve">2026-06-11 18:13:50.212949+03:00</t>
  </si>
  <si>
    <t xml:space="preserve">{'ts': '2026-06-11T15:10:00+00:00', 'stop': 7297.25}</t>
  </si>
  <si>
    <t xml:space="preserve">2026-06-11 17:55:46.466845+03:00</t>
  </si>
  <si>
    <t xml:space="preserve">2026-06-11 17:55:46.467035+03:00</t>
  </si>
  <si>
    <t xml:space="preserve">{'to': 7297.5, 'from': 7331.25}</t>
  </si>
  <si>
    <t xml:space="preserve">2026-06-11 18:13:50.217259+03:00</t>
  </si>
  <si>
    <t xml:space="preserve">{'ts': '2026-06-11T15:10:00+00:00', 'stop': 7297.5}</t>
  </si>
  <si>
    <t xml:space="preserve">2026-06-11 17:58:58.925595+03:00</t>
  </si>
  <si>
    <t xml:space="preserve">2026-06-11 17:58:58.925693+03:00</t>
  </si>
  <si>
    <t xml:space="preserve">{'to': 7289.75, 'from': 7336.5}</t>
  </si>
  <si>
    <t xml:space="preserve">2026-06-11 17:58:59.009407+03:00</t>
  </si>
  <si>
    <t xml:space="preserve">{'ts': '2026-06-11T14:55:00+00:00', 'stop': 7289.75}</t>
  </si>
  <si>
    <t xml:space="preserve">2026-06-11 17:36:42.360847+03:00</t>
  </si>
  <si>
    <t xml:space="preserve">{'ts': '2026-06-11T14:35:00+00:00'}</t>
  </si>
  <si>
    <t xml:space="preserve">2026-06-11 17:36:42.360948+03:00</t>
  </si>
  <si>
    <t xml:space="preserve">{'to': 7308.75, 'from': 7288.25}</t>
  </si>
  <si>
    <t xml:space="preserve">2026-06-11 17:36:43.278435+03:00</t>
  </si>
  <si>
    <t xml:space="preserve">{'ts': '2026-06-11T14:35:00+00:00', 'stop': 7308.75}</t>
  </si>
  <si>
    <t xml:space="preserve">2026-06-11 17:43:11.870541+03:00</t>
  </si>
  <si>
    <t xml:space="preserve">{'ts': '2026-06-11T14:40:00+00:00', 'stop': 7318.25}</t>
  </si>
  <si>
    <t xml:space="preserve">2026-06-11 17:55:01.422726+03:00</t>
  </si>
  <si>
    <t xml:space="preserve">2026-06-11 17:55:01.422831+03:00</t>
  </si>
  <si>
    <t xml:space="preserve">{'to': 7300.25, 'from': 7321.0}</t>
  </si>
  <si>
    <t xml:space="preserve">2026-06-11 18:15:41.384025+03:00</t>
  </si>
  <si>
    <t xml:space="preserve">{'ts': '2026-06-11T15:15:00+00:00', 'stop': 7300.25}</t>
  </si>
  <si>
    <t xml:space="preserve">2026-06-11 18:15:26.324455+03:00</t>
  </si>
  <si>
    <t xml:space="preserve">{'ts': '2026-06-11T15:15:00+00:00'}</t>
  </si>
  <si>
    <t xml:space="preserve">2026-06-11 18:15:26.324598+03:00</t>
  </si>
  <si>
    <t xml:space="preserve">{'to': 7286.5, 'from': 7262.25}</t>
  </si>
  <si>
    <t xml:space="preserve">2026-06-11 18:18:50.428513+03:00</t>
  </si>
  <si>
    <t xml:space="preserve">{'ts': '2026-06-11T15:15:00+00:00', 'stop': 7286.5}</t>
  </si>
  <si>
    <t xml:space="preserve">2026-06-11 18:20:48.828380+03:00</t>
  </si>
  <si>
    <t xml:space="preserve">{'ts': '2026-06-11T15:20:00+00:00'}</t>
  </si>
  <si>
    <t xml:space="preserve">2026-06-11 18:20:48.828475+03:00</t>
  </si>
  <si>
    <t xml:space="preserve">{'to': 7293.25, 'from': 7262.25}</t>
  </si>
  <si>
    <t xml:space="preserve">2026-06-11 18:20:49.763962+03:00</t>
  </si>
  <si>
    <t xml:space="preserve">{'ts': '2026-06-11T15:20:00+00:00', 'stop': 7293.25}</t>
  </si>
  <si>
    <t xml:space="preserve">2026-06-11 18:38:50.228609+03:00</t>
  </si>
  <si>
    <t xml:space="preserve">{'ts': '2026-06-11T15:35:00+00:00', 'stop': 7307.75}</t>
  </si>
  <si>
    <t xml:space="preserve">2026-06-11 19:01:18.692346+03:00</t>
  </si>
  <si>
    <t xml:space="preserve">{'ts': '2026-06-11T16:00:00+00:00'}</t>
  </si>
  <si>
    <t xml:space="preserve">2026-06-11 19:01:18.692474+03:00</t>
  </si>
  <si>
    <t xml:space="preserve">{'to': 7304.75, 'from': 7262.25}</t>
  </si>
  <si>
    <t xml:space="preserve">2026-06-11 19:01:18.831427+03:00</t>
  </si>
  <si>
    <t xml:space="preserve">{'ts': '2026-06-11T16:00:00+00:00', 'stop': 7304.75}</t>
  </si>
  <si>
    <t xml:space="preserve">2026-06-11 19:11:33.394137+03:00</t>
  </si>
  <si>
    <t xml:space="preserve">{'ts': '2026-06-11T16:10:00+00:00', 'stop': 7315.0}</t>
  </si>
  <si>
    <t xml:space="preserve">2026-06-11 19:30:56.258914+03:00</t>
  </si>
  <si>
    <t xml:space="preserve">{'ts': '2026-06-11T16:30:00+00:00', 'stop': 7295.5}</t>
  </si>
  <si>
    <t xml:space="preserve">2026-06-11 19:30:03.202706+03:00</t>
  </si>
  <si>
    <t xml:space="preserve">{'ts': '2026-06-11T16:30:00+00:00'}</t>
  </si>
  <si>
    <t xml:space="preserve">2026-06-11 19:30:03.202812+03:00</t>
  </si>
  <si>
    <t xml:space="preserve">{'to': 7305.75, 'from': 7323.25}</t>
  </si>
  <si>
    <t xml:space="preserve">2026-06-11 19:34:02.701204+03:00</t>
  </si>
  <si>
    <t xml:space="preserve">{'ts': '2026-06-11T16:30:00+00:00', 'stop': 7305.75}</t>
  </si>
  <si>
    <t xml:space="preserve">2026-06-11 19:55:51.345509+03:00</t>
  </si>
  <si>
    <t xml:space="preserve">{'ts': '2026-06-11T16:55:00+00:00'}</t>
  </si>
  <si>
    <t xml:space="preserve">2026-06-11 19:55:51.345665+03:00</t>
  </si>
  <si>
    <t xml:space="preserve">{'to': 7297.5, 'from': 7323.25}</t>
  </si>
  <si>
    <t xml:space="preserve">2026-06-11 20:28:49.980038+03:00</t>
  </si>
  <si>
    <t xml:space="preserve">{'ts': '2026-06-11T17:25:00+00:00', 'stop': 7297.5}</t>
  </si>
  <si>
    <t xml:space="preserve">2026-06-11 19:50:35.331130+03:00</t>
  </si>
  <si>
    <t xml:space="preserve">{'ts': '2026-06-11T16:50:00+00:00'}</t>
  </si>
  <si>
    <t xml:space="preserve">2026-06-11 19:50:35.331249+03:00</t>
  </si>
  <si>
    <t xml:space="preserve">{'to': 7305.25, 'from': 7323.25}</t>
  </si>
  <si>
    <t xml:space="preserve">2026-06-11 20:28:54.317168+03:00</t>
  </si>
  <si>
    <t xml:space="preserve">{'ts': '2026-06-11T17:25:00+00:00', 'stop': 7305.25}</t>
  </si>
  <si>
    <t xml:space="preserve">2026-06-11 19:55:02.008051+03:00</t>
  </si>
  <si>
    <t xml:space="preserve">2026-06-11 19:55:02.008201+03:00</t>
  </si>
  <si>
    <t xml:space="preserve">{'to': 7302.25, 'from': 7323.25}</t>
  </si>
  <si>
    <t xml:space="preserve">2026-06-11 20:28:54.312362+03:00</t>
  </si>
  <si>
    <t xml:space="preserve">{'ts': '2026-06-11T17:25:00+00:00', 'stop': 7302.25}</t>
  </si>
  <si>
    <t xml:space="preserve">2026-06-11 20:03:31.891195+03:00</t>
  </si>
  <si>
    <t xml:space="preserve">{'ts': '2026-06-11T17:00:00+00:00'}</t>
  </si>
  <si>
    <t xml:space="preserve">2026-06-11 20:03:31.891306+03:00</t>
  </si>
  <si>
    <t xml:space="preserve">{'to': 7290.25, 'from': 7323.25}</t>
  </si>
  <si>
    <t xml:space="preserve">2026-06-11 20:03:32.455533+03:00</t>
  </si>
  <si>
    <t xml:space="preserve">{'ts': '2026-06-11T17:00:00+00:00', 'stop': 7290.25}</t>
  </si>
  <si>
    <t xml:space="preserve">2026-06-11 20:28:57.181320+03:00</t>
  </si>
  <si>
    <t xml:space="preserve">{'ts': '2026-06-11T17:25:00+00:00', 'stop': 7323.25}</t>
  </si>
  <si>
    <t xml:space="preserve">2026-06-11 20:18:50.840245+03:00</t>
  </si>
  <si>
    <t xml:space="preserve">{'ts': '2026-06-11T17:15:00+00:00', 'stop': 7274.25}</t>
  </si>
  <si>
    <t xml:space="preserve">2026-06-11 20:45:01.292258+03:00</t>
  </si>
  <si>
    <t xml:space="preserve">{'ts': '2026-06-11T17:45:00+00:00', 'stop': 7372.25}</t>
  </si>
  <si>
    <t xml:space="preserve">2026-06-11 20:50:01.430254+03:00</t>
  </si>
  <si>
    <t xml:space="preserve">{'ts': '2026-06-11T17:50:00+00:00'}</t>
  </si>
  <si>
    <t xml:space="preserve">2026-06-11 20:50:01.430352+03:00</t>
  </si>
  <si>
    <t xml:space="preserve">{'to': 7382.5, 'from': 7387.25}</t>
  </si>
  <si>
    <t xml:space="preserve">2026-06-11 21:50:13.976607+03:00</t>
  </si>
  <si>
    <t xml:space="preserve">{'ts': '2026-06-11T18:50:00+00:00', 'stop': 7382.5}</t>
  </si>
  <si>
    <t xml:space="preserve">2026-06-11 20:56:55.087796+03:00</t>
  </si>
  <si>
    <t xml:space="preserve">{'ts': '2026-06-11T17:55:00+00:00'}</t>
  </si>
  <si>
    <t xml:space="preserve">2026-06-11 20:56:55.087895+03:00</t>
  </si>
  <si>
    <t xml:space="preserve">{'to': 7367.5, 'from': 7387.25}</t>
  </si>
  <si>
    <t xml:space="preserve">2026-06-11 20:58:06.118461+03:00</t>
  </si>
  <si>
    <t xml:space="preserve">{'ts': '2026-06-11T17:55:00+00:00', 'stop': 7367.5}</t>
  </si>
  <si>
    <t xml:space="preserve">2026-06-11 21:03:20.341058+03:00</t>
  </si>
  <si>
    <t xml:space="preserve">{'ts': '2026-06-11T18:00:00+00:00'}</t>
  </si>
  <si>
    <t xml:space="preserve">2026-06-11 21:03:20.341164+03:00</t>
  </si>
  <si>
    <t xml:space="preserve">{'to': 7362.5, 'from': 7387.25}</t>
  </si>
  <si>
    <t xml:space="preserve">2026-06-11 21:03:20.693713+03:00</t>
  </si>
  <si>
    <t xml:space="preserve">{'ts': '2026-06-11T18:00:00+00:00', 'stop': 7362.5}</t>
  </si>
  <si>
    <t xml:space="preserve">2026-06-11 21:05:02.177684+03:00</t>
  </si>
  <si>
    <t xml:space="preserve">{'ts': '2026-06-11T18:05:00+00:00'}</t>
  </si>
  <si>
    <t xml:space="preserve">2026-06-11 21:05:02.177856+03:00</t>
  </si>
  <si>
    <t xml:space="preserve">{'to': 7369.25, 'from': 7387.25}</t>
  </si>
  <si>
    <t xml:space="preserve">2026-06-11 21:16:03.136680+03:00</t>
  </si>
  <si>
    <t xml:space="preserve">{'ts': '2026-06-11T18:15:00+00:00', 'stop': 7369.25}</t>
  </si>
  <si>
    <t xml:space="preserve">2026-06-11 22:12:05.243382+03:00</t>
  </si>
  <si>
    <t xml:space="preserve">{'ts': '2026-06-11T19:10:00+00:00', 'stop': 7387.25}</t>
  </si>
  <si>
    <t xml:space="preserve">2026-06-11 22:12:05.248985+03:00</t>
  </si>
  <si>
    <t xml:space="preserve">2026-06-11 22:12:05.253226+03:00</t>
  </si>
  <si>
    <t xml:space="preserve">{'ts': '2026-06-11T19:10:00+00:00'}</t>
  </si>
  <si>
    <t xml:space="preserve">2026-06-11 22:12:05.253321+03:00</t>
  </si>
  <si>
    <t xml:space="preserve">{'to': 7375.25, 'from': 7344.5}</t>
  </si>
  <si>
    <t xml:space="preserve">2026-06-11 22:12:05.261958+03:00</t>
  </si>
  <si>
    <t xml:space="preserve">2026-06-11 21:50:01.881187+03:00</t>
  </si>
  <si>
    <t xml:space="preserve">{'ts': '2026-06-11T18:50:00+00:00'}</t>
  </si>
  <si>
    <t xml:space="preserve">2026-06-11 21:50:01.881282+03:00</t>
  </si>
  <si>
    <t xml:space="preserve">{'to': 7369.5, 'from': 7359.75}</t>
  </si>
  <si>
    <t xml:space="preserve">2026-06-11 22:05:02.056590+03:00</t>
  </si>
  <si>
    <t xml:space="preserve">{'ts': '2026-06-11T19:05:00+00:00', 'stop': 7384.0}</t>
  </si>
  <si>
    <t xml:space="preserve">2026-06-11 22:15:01.697407+03:00</t>
  </si>
  <si>
    <t xml:space="preserve">{'ts': '2026-06-11T19:15:00+00:00', 'stop': 7387.75}</t>
  </si>
  <si>
    <t xml:space="preserve">2026-06-12 16:42:30.070560+03:00</t>
  </si>
  <si>
    <t xml:space="preserve">{'ts': '2026-06-12T13:40:00+00:00'}</t>
  </si>
  <si>
    <t xml:space="preserve">2026-06-12 16:42:30.225761+03:00</t>
  </si>
  <si>
    <t xml:space="preserve">{'to': 7399.75, 'from': 7448.5}</t>
  </si>
  <si>
    <t xml:space="preserve">2026-06-12 16:42:33.211345+03:00</t>
  </si>
  <si>
    <t xml:space="preserve">{'ts': '2026-06-12T13:40:00+00:00', 'stop': 7399.75}</t>
  </si>
  <si>
    <t xml:space="preserve">2026-06-12 17:00:01.069885+03:00</t>
  </si>
  <si>
    <t xml:space="preserve">{'ts': '2026-06-12T14:00:00+00:00'}</t>
  </si>
  <si>
    <t xml:space="preserve">2026-06-12 17:00:01.069983+03:00</t>
  </si>
  <si>
    <t xml:space="preserve">{'to': 7377.75, 'from': 7365.75}</t>
  </si>
  <si>
    <t xml:space="preserve">2026-06-12 17:02:14.226229+03:00</t>
  </si>
  <si>
    <t xml:space="preserve">2026-06-12 17:02:14.226346+03:00</t>
  </si>
  <si>
    <t xml:space="preserve">STOP_AFTER_T2</t>
  </si>
  <si>
    <t xml:space="preserve">{'to': 7383.375, 'from': 7377.75, 'half_r': 5.88}</t>
  </si>
  <si>
    <t xml:space="preserve">2026-06-12 17:02:17.094720+03:00</t>
  </si>
  <si>
    <t xml:space="preserve">{'ts': '2026-06-12T14:00:00+00:00', 'stop': 7383.375}</t>
  </si>
  <si>
    <t xml:space="preserve">2026-06-12 17:05:01.605700+03:00</t>
  </si>
  <si>
    <t xml:space="preserve">{'ts': '2026-06-12T14:05:00+00:00'}</t>
  </si>
  <si>
    <t xml:space="preserve">2026-06-12 17:05:01.605807+03:00</t>
  </si>
  <si>
    <t xml:space="preserve">{'to': 7385.5, 'from': 7365.75}</t>
  </si>
  <si>
    <t xml:space="preserve">2026-06-12 17:17:09.347654+03:00</t>
  </si>
  <si>
    <t xml:space="preserve">{'ts': '2026-06-12T14:15:00+00:00'}</t>
  </si>
  <si>
    <t xml:space="preserve">2026-06-12 17:17:09.347854+03:00</t>
  </si>
  <si>
    <t xml:space="preserve">{'to': 7395.0, 'from': 7385.5, 'half_r': 9.75}</t>
  </si>
  <si>
    <t xml:space="preserve">2026-06-12 17:45:09.587496+03:00</t>
  </si>
  <si>
    <t xml:space="preserve">{'ts': '2026-06-12T14:45:00+00:00', 'stop': 7395.0}</t>
  </si>
  <si>
    <t xml:space="preserve">2026-06-12 17:10:04.529610+03:00</t>
  </si>
  <si>
    <t xml:space="preserve">{'ts': '2026-06-12T14:10:00+00:00'}</t>
  </si>
  <si>
    <t xml:space="preserve">2026-06-12 17:10:04.529804+03:00</t>
  </si>
  <si>
    <t xml:space="preserve">{'to': 7404.5, 'from': 7367.5}</t>
  </si>
  <si>
    <t xml:space="preserve">2026-06-12 17:13:40.641727+03:00</t>
  </si>
  <si>
    <t xml:space="preserve">{'ts': '2026-06-12T14:10:00+00:00', 'stop': 7404.5}</t>
  </si>
  <si>
    <t xml:space="preserve">2026-06-12 17:55:04.849586+03:00</t>
  </si>
  <si>
    <t xml:space="preserve">{'ts': '2026-06-12T14:55:00+00:00'}</t>
  </si>
  <si>
    <t xml:space="preserve">2026-06-12 17:55:04.849680+03:00</t>
  </si>
  <si>
    <t xml:space="preserve">{'to': 7418.75, 'from': 7374.25}</t>
  </si>
  <si>
    <t xml:space="preserve">2026-06-12 18:48:30.802716+03:00</t>
  </si>
  <si>
    <t xml:space="preserve">{'ts': '2026-06-12T15:45:00+00:00', 'stop': 7418.75}</t>
  </si>
  <si>
    <t xml:space="preserve">2026-06-12 17:54:22.945059+03:00</t>
  </si>
  <si>
    <t xml:space="preserve">{'ts': '2026-06-12T14:50:00+00:00', 'stop': 7429.75}</t>
  </si>
  <si>
    <t xml:space="preserve">2026-06-12 17:55:01.478513+03:00</t>
  </si>
  <si>
    <t xml:space="preserve">{'ts': '2026-06-12T14:55:00+00:00', 'stop': 7429.75}</t>
  </si>
  <si>
    <t xml:space="preserve">2026-06-12 18:25:02.815763+03:00</t>
  </si>
  <si>
    <t xml:space="preserve">{'ts': '2026-06-12T15:25:00+00:00'}</t>
  </si>
  <si>
    <t xml:space="preserve">2026-06-12 18:25:02.822495+03:00</t>
  </si>
  <si>
    <t xml:space="preserve">{'to': 7453.25, 'from': 7448.5}</t>
  </si>
  <si>
    <t xml:space="preserve">2026-06-12 18:31:21.339395+03:00</t>
  </si>
  <si>
    <t xml:space="preserve">{'ts': '2026-06-12T15:30:00+00:00', 'stop': 7453.25}</t>
  </si>
  <si>
    <t xml:space="preserve">2026-06-12 18:50:04.903355+03:00</t>
  </si>
  <si>
    <t xml:space="preserve">{'ts': '2026-06-12T15:50:00+00:00'}</t>
  </si>
  <si>
    <t xml:space="preserve">2026-06-12 18:50:04.903474+03:00</t>
  </si>
  <si>
    <t xml:space="preserve">{'to': 7426.25, 'from': 7437.75}</t>
  </si>
  <si>
    <t xml:space="preserve">2026-06-12 18:52:57.390794+03:00</t>
  </si>
  <si>
    <t xml:space="preserve">{'ts': '2026-06-12T15:50:00+00:00', 'stop': 7426.25}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</si>
</sst>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;&quot;($&quot;#,##0.0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5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8" min="18" style="0" width="10"/>
    <col collapsed="false" customWidth="true" hidden="false" outlineLevel="0" max="19" min="19" style="0" width="7"/>
    <col collapsed="false" customWidth="true" hidden="false" outlineLevel="0" max="21" min="20" style="0" width="8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8"/>
    <col collapsed="false" customWidth="true" hidden="false" outlineLevel="0" max="27" min="27" style="0" width="6"/>
    <col collapsed="false" customWidth="true" hidden="false" outlineLevel="0" max="28" min="28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n">
        <v>10</v>
      </c>
      <c r="B2" s="2" t="s">
        <v>28</v>
      </c>
      <c r="C2" s="2" t="s">
        <v>29</v>
      </c>
      <c r="D2" s="2" t="s">
        <v>30</v>
      </c>
      <c r="E2" s="2" t="n">
        <v>2</v>
      </c>
      <c r="F2" s="2" t="s">
        <v>31</v>
      </c>
      <c r="G2" s="2" t="s">
        <v>32</v>
      </c>
      <c r="H2" s="2" t="s">
        <v>33</v>
      </c>
      <c r="I2" s="2" t="n">
        <v>7444</v>
      </c>
      <c r="J2" s="2" t="n">
        <v>7457.03125</v>
      </c>
      <c r="K2" s="2" t="n">
        <v>7443.75</v>
      </c>
      <c r="L2" s="2" t="n">
        <v>13</v>
      </c>
      <c r="M2" s="2" t="n">
        <v>7428.75</v>
      </c>
      <c r="N2" s="2" t="n">
        <v>1.17</v>
      </c>
      <c r="O2" s="2" t="n">
        <v>7413.5</v>
      </c>
      <c r="P2" s="2" t="n">
        <v>0</v>
      </c>
      <c r="Q2" s="2" t="s">
        <v>34</v>
      </c>
      <c r="R2" s="2" t="s">
        <v>34</v>
      </c>
      <c r="S2" s="2" t="s">
        <v>34</v>
      </c>
      <c r="T2" s="2" t="n">
        <v>83</v>
      </c>
      <c r="U2" s="2" t="n">
        <v>25.5</v>
      </c>
      <c r="V2" s="2" t="n">
        <v>15.33</v>
      </c>
      <c r="W2" s="2" t="s">
        <v>35</v>
      </c>
      <c r="X2" s="2" t="s">
        <v>36</v>
      </c>
      <c r="Y2" s="3" t="n">
        <v>230</v>
      </c>
      <c r="Z2" s="2" t="n">
        <v>1.18</v>
      </c>
      <c r="AA2" s="2" t="n">
        <v>12</v>
      </c>
      <c r="AB2" s="2"/>
    </row>
    <row r="3" customFormat="false" ht="15" hidden="false" customHeight="false" outlineLevel="0" collapsed="false">
      <c r="A3" s="2" t="n">
        <v>12</v>
      </c>
      <c r="B3" s="2" t="s">
        <v>28</v>
      </c>
      <c r="C3" s="2" t="s">
        <v>29</v>
      </c>
      <c r="D3" s="2" t="s">
        <v>30</v>
      </c>
      <c r="E3" s="2" t="n">
        <v>4</v>
      </c>
      <c r="F3" s="2" t="s">
        <v>37</v>
      </c>
      <c r="G3" s="2" t="s">
        <v>32</v>
      </c>
      <c r="H3" s="2" t="s">
        <v>33</v>
      </c>
      <c r="I3" s="2" t="n">
        <v>7443.75</v>
      </c>
      <c r="J3" s="2" t="n">
        <v>7447.25</v>
      </c>
      <c r="K3" s="2" t="n">
        <v>7443.5</v>
      </c>
      <c r="L3" s="2" t="n">
        <v>3.5</v>
      </c>
      <c r="M3" s="2" t="n">
        <v>7440.25</v>
      </c>
      <c r="N3" s="2" t="n">
        <v>1</v>
      </c>
      <c r="O3" s="2" t="n">
        <v>7436.75</v>
      </c>
      <c r="P3" s="2" t="n">
        <v>0</v>
      </c>
      <c r="Q3" s="2" t="s">
        <v>34</v>
      </c>
      <c r="R3" s="2" t="s">
        <v>34</v>
      </c>
      <c r="S3" s="2"/>
      <c r="T3" s="2"/>
      <c r="U3" s="2"/>
      <c r="V3" s="2" t="n">
        <v>1.33</v>
      </c>
      <c r="W3" s="2" t="s">
        <v>35</v>
      </c>
      <c r="X3" s="2" t="s">
        <v>36</v>
      </c>
      <c r="Y3" s="3" t="n">
        <v>20</v>
      </c>
      <c r="Z3" s="2" t="n">
        <v>0.38</v>
      </c>
      <c r="AA3" s="2" t="n">
        <v>0</v>
      </c>
      <c r="AB3" s="2"/>
    </row>
    <row r="4" customFormat="false" ht="15" hidden="false" customHeight="false" outlineLevel="0" collapsed="false">
      <c r="A4" s="2" t="n">
        <v>13</v>
      </c>
      <c r="B4" s="2" t="s">
        <v>28</v>
      </c>
      <c r="C4" s="2" t="s">
        <v>38</v>
      </c>
      <c r="D4" s="2" t="s">
        <v>39</v>
      </c>
      <c r="E4" s="2" t="n">
        <v>2</v>
      </c>
      <c r="F4" s="2" t="s">
        <v>40</v>
      </c>
      <c r="G4" s="2" t="s">
        <v>32</v>
      </c>
      <c r="H4" s="2" t="s">
        <v>33</v>
      </c>
      <c r="I4" s="2" t="n">
        <v>7414.25</v>
      </c>
      <c r="J4" s="2" t="n">
        <v>7418</v>
      </c>
      <c r="K4" s="2" t="n">
        <v>7414</v>
      </c>
      <c r="L4" s="2" t="n">
        <v>3.8</v>
      </c>
      <c r="M4" s="2" t="n">
        <v>7410.5</v>
      </c>
      <c r="N4" s="2" t="n">
        <v>1</v>
      </c>
      <c r="O4" s="2" t="n">
        <v>7404.875</v>
      </c>
      <c r="P4" s="2" t="n">
        <v>0</v>
      </c>
      <c r="Q4" s="2" t="s">
        <v>34</v>
      </c>
      <c r="R4" s="2" t="s">
        <v>34</v>
      </c>
      <c r="S4" s="2" t="s">
        <v>34</v>
      </c>
      <c r="T4" s="2" t="n">
        <v>53.25</v>
      </c>
      <c r="U4" s="2" t="n">
        <v>0</v>
      </c>
      <c r="V4" s="2" t="n">
        <v>4.46</v>
      </c>
      <c r="W4" s="2" t="s">
        <v>35</v>
      </c>
      <c r="X4" s="2" t="s">
        <v>36</v>
      </c>
      <c r="Y4" s="3" t="n">
        <v>66.88</v>
      </c>
      <c r="Z4" s="2" t="n">
        <v>1.19</v>
      </c>
      <c r="AA4" s="2" t="n">
        <v>3</v>
      </c>
      <c r="AB4" s="2"/>
    </row>
    <row r="5" customFormat="false" ht="15" hidden="false" customHeight="false" outlineLevel="0" collapsed="false">
      <c r="A5" s="2" t="n">
        <v>20</v>
      </c>
      <c r="B5" s="2" t="s">
        <v>41</v>
      </c>
      <c r="C5" s="2" t="s">
        <v>42</v>
      </c>
      <c r="D5" s="2" t="s">
        <v>43</v>
      </c>
      <c r="E5" s="2" t="n">
        <v>4</v>
      </c>
      <c r="F5" s="2" t="s">
        <v>37</v>
      </c>
      <c r="G5" s="2" t="s">
        <v>32</v>
      </c>
      <c r="H5" s="2" t="s">
        <v>44</v>
      </c>
      <c r="I5" s="2" t="n">
        <v>7489.25</v>
      </c>
      <c r="J5" s="2" t="n">
        <v>7491.75</v>
      </c>
      <c r="K5" s="2" t="n">
        <v>7489</v>
      </c>
      <c r="L5" s="2" t="n">
        <v>2.5</v>
      </c>
      <c r="M5" s="2" t="n">
        <v>7485.75</v>
      </c>
      <c r="N5" s="2" t="n">
        <v>1.4</v>
      </c>
      <c r="O5" s="2" t="n">
        <v>7482.25</v>
      </c>
      <c r="P5" s="2"/>
      <c r="Q5" s="2" t="s">
        <v>34</v>
      </c>
      <c r="R5" s="2" t="s">
        <v>34</v>
      </c>
      <c r="S5" s="2" t="s">
        <v>34</v>
      </c>
      <c r="T5" s="2" t="n">
        <v>127</v>
      </c>
      <c r="U5" s="2" t="n">
        <v>0</v>
      </c>
      <c r="V5" s="2" t="n">
        <v>38.83</v>
      </c>
      <c r="W5" s="2" t="s">
        <v>45</v>
      </c>
      <c r="X5" s="2" t="s">
        <v>36</v>
      </c>
      <c r="Y5" s="3" t="n">
        <v>582.5</v>
      </c>
      <c r="Z5" s="2" t="n">
        <v>15.53</v>
      </c>
      <c r="AA5" s="2" t="n">
        <v>18</v>
      </c>
      <c r="AB5" s="2"/>
    </row>
    <row r="6" customFormat="false" ht="15" hidden="false" customHeight="false" outlineLevel="0" collapsed="false">
      <c r="A6" s="2" t="n">
        <v>22</v>
      </c>
      <c r="B6" s="2" t="s">
        <v>41</v>
      </c>
      <c r="C6" s="2" t="s">
        <v>46</v>
      </c>
      <c r="D6" s="2" t="s">
        <v>47</v>
      </c>
      <c r="E6" s="2" t="n">
        <v>2</v>
      </c>
      <c r="F6" s="2" t="s">
        <v>31</v>
      </c>
      <c r="G6" s="2" t="s">
        <v>32</v>
      </c>
      <c r="H6" s="2" t="s">
        <v>33</v>
      </c>
      <c r="I6" s="2" t="n">
        <v>7313.5</v>
      </c>
      <c r="J6" s="2" t="n">
        <v>7349.75</v>
      </c>
      <c r="K6" s="2" t="n">
        <v>7349.75</v>
      </c>
      <c r="L6" s="2" t="n">
        <v>36.2</v>
      </c>
      <c r="M6" s="2" t="n">
        <v>7259.375</v>
      </c>
      <c r="N6" s="2" t="n">
        <v>1.49</v>
      </c>
      <c r="O6" s="2" t="n">
        <v>7205.25</v>
      </c>
      <c r="P6" s="2"/>
      <c r="Q6" s="2"/>
      <c r="R6" s="2"/>
      <c r="S6" s="2"/>
      <c r="T6" s="2" t="n">
        <v>39</v>
      </c>
      <c r="U6" s="2" t="n">
        <v>5.5</v>
      </c>
      <c r="V6" s="2" t="n">
        <v>0</v>
      </c>
      <c r="W6" s="2" t="s">
        <v>48</v>
      </c>
      <c r="X6" s="2" t="s">
        <v>49</v>
      </c>
      <c r="Y6" s="2" t="n">
        <v>0</v>
      </c>
      <c r="Z6" s="2" t="n">
        <v>0</v>
      </c>
      <c r="AA6" s="2" t="n">
        <v>5</v>
      </c>
      <c r="AB6" s="2" t="s">
        <v>50</v>
      </c>
    </row>
    <row r="7" customFormat="false" ht="15" hidden="false" customHeight="false" outlineLevel="0" collapsed="false">
      <c r="A7" s="2" t="n">
        <v>24</v>
      </c>
      <c r="B7" s="2" t="s">
        <v>51</v>
      </c>
      <c r="C7" s="2" t="s">
        <v>52</v>
      </c>
      <c r="D7" s="2" t="s">
        <v>53</v>
      </c>
      <c r="E7" s="2" t="n">
        <v>4</v>
      </c>
      <c r="F7" s="2" t="s">
        <v>54</v>
      </c>
      <c r="G7" s="2" t="s">
        <v>55</v>
      </c>
      <c r="H7" s="2" t="s">
        <v>44</v>
      </c>
      <c r="I7" s="2" t="n">
        <v>7338.5</v>
      </c>
      <c r="J7" s="2" t="n">
        <v>7337.5</v>
      </c>
      <c r="K7" s="2" t="n">
        <v>7337.5</v>
      </c>
      <c r="L7" s="2" t="n">
        <v>1</v>
      </c>
      <c r="M7" s="2" t="n">
        <v>7341.5</v>
      </c>
      <c r="N7" s="2" t="n">
        <v>3</v>
      </c>
      <c r="O7" s="2"/>
      <c r="P7" s="2"/>
      <c r="Q7" s="2"/>
      <c r="R7" s="2"/>
      <c r="S7" s="2"/>
      <c r="T7" s="2" t="n">
        <v>2.5</v>
      </c>
      <c r="U7" s="2" t="n">
        <v>11.75</v>
      </c>
      <c r="V7" s="2" t="n">
        <v>-1</v>
      </c>
      <c r="W7" s="2" t="s">
        <v>35</v>
      </c>
      <c r="X7" s="2" t="s">
        <v>56</v>
      </c>
      <c r="Y7" s="4" t="n">
        <v>-15</v>
      </c>
      <c r="Z7" s="2" t="n">
        <v>-1</v>
      </c>
      <c r="AA7" s="2" t="n">
        <v>1</v>
      </c>
      <c r="AB7" s="2"/>
    </row>
    <row r="8" customFormat="false" ht="15" hidden="false" customHeight="false" outlineLevel="0" collapsed="false">
      <c r="A8" s="2" t="n">
        <v>26</v>
      </c>
      <c r="B8" s="2" t="s">
        <v>51</v>
      </c>
      <c r="C8" s="2" t="s">
        <v>57</v>
      </c>
      <c r="D8" s="2" t="s">
        <v>58</v>
      </c>
      <c r="E8" s="2" t="n">
        <v>4</v>
      </c>
      <c r="F8" s="2" t="s">
        <v>54</v>
      </c>
      <c r="G8" s="2" t="s">
        <v>55</v>
      </c>
      <c r="H8" s="2" t="s">
        <v>59</v>
      </c>
      <c r="I8" s="2" t="n">
        <v>7339.25</v>
      </c>
      <c r="J8" s="2" t="n">
        <v>7337.25</v>
      </c>
      <c r="K8" s="2" t="n">
        <v>7337.25</v>
      </c>
      <c r="L8" s="2" t="n">
        <v>2</v>
      </c>
      <c r="M8" s="2" t="n">
        <v>7342.25</v>
      </c>
      <c r="N8" s="2" t="n">
        <v>1.5</v>
      </c>
      <c r="O8" s="2"/>
      <c r="P8" s="2"/>
      <c r="Q8" s="2"/>
      <c r="R8" s="2"/>
      <c r="S8" s="2"/>
      <c r="T8" s="2" t="n">
        <v>0</v>
      </c>
      <c r="U8" s="2" t="n">
        <v>23.75</v>
      </c>
      <c r="V8" s="2" t="n">
        <v>-2</v>
      </c>
      <c r="W8" s="2" t="s">
        <v>35</v>
      </c>
      <c r="X8" s="2" t="s">
        <v>56</v>
      </c>
      <c r="Y8" s="4" t="n">
        <v>-30</v>
      </c>
      <c r="Z8" s="2" t="n">
        <v>-1</v>
      </c>
      <c r="AA8" s="2" t="n">
        <v>1</v>
      </c>
      <c r="AB8" s="2"/>
    </row>
    <row r="9" customFormat="false" ht="15" hidden="false" customHeight="false" outlineLevel="0" collapsed="false">
      <c r="A9" s="2" t="n">
        <v>27</v>
      </c>
      <c r="B9" s="2" t="s">
        <v>51</v>
      </c>
      <c r="C9" s="2" t="s">
        <v>60</v>
      </c>
      <c r="D9" s="2" t="s">
        <v>61</v>
      </c>
      <c r="E9" s="2" t="n">
        <v>4</v>
      </c>
      <c r="F9" s="2" t="s">
        <v>54</v>
      </c>
      <c r="G9" s="2" t="s">
        <v>55</v>
      </c>
      <c r="H9" s="2" t="s">
        <v>59</v>
      </c>
      <c r="I9" s="2" t="n">
        <v>7327.5</v>
      </c>
      <c r="J9" s="2" t="n">
        <v>7325.75</v>
      </c>
      <c r="K9" s="2" t="n">
        <v>7325.75</v>
      </c>
      <c r="L9" s="2" t="n">
        <v>1.8</v>
      </c>
      <c r="M9" s="2" t="n">
        <v>7330.5</v>
      </c>
      <c r="N9" s="2" t="n">
        <v>1.71</v>
      </c>
      <c r="O9" s="2"/>
      <c r="P9" s="2"/>
      <c r="Q9" s="2"/>
      <c r="R9" s="2"/>
      <c r="S9" s="2"/>
      <c r="T9" s="2" t="n">
        <v>16.75</v>
      </c>
      <c r="U9" s="2" t="n">
        <v>6.75</v>
      </c>
      <c r="V9" s="2" t="n">
        <v>-1.75</v>
      </c>
      <c r="W9" s="2" t="s">
        <v>35</v>
      </c>
      <c r="X9" s="2" t="s">
        <v>56</v>
      </c>
      <c r="Y9" s="4" t="n">
        <v>-26.25</v>
      </c>
      <c r="Z9" s="2" t="n">
        <v>-1</v>
      </c>
      <c r="AA9" s="2" t="n">
        <v>1</v>
      </c>
      <c r="AB9" s="2"/>
    </row>
    <row r="10" customFormat="false" ht="15" hidden="false" customHeight="false" outlineLevel="0" collapsed="false">
      <c r="A10" s="2" t="n">
        <v>28</v>
      </c>
      <c r="B10" s="2" t="s">
        <v>62</v>
      </c>
      <c r="C10" s="2" t="s">
        <v>63</v>
      </c>
      <c r="D10" s="2" t="s">
        <v>64</v>
      </c>
      <c r="E10" s="2" t="n">
        <v>4</v>
      </c>
      <c r="F10" s="2" t="s">
        <v>65</v>
      </c>
      <c r="G10" s="2" t="s">
        <v>32</v>
      </c>
      <c r="H10" s="2" t="s">
        <v>44</v>
      </c>
      <c r="I10" s="2" t="n">
        <v>7306.25</v>
      </c>
      <c r="J10" s="2" t="n">
        <v>7313.5</v>
      </c>
      <c r="K10" s="2" t="n">
        <v>7306</v>
      </c>
      <c r="L10" s="2" t="n">
        <v>7.2</v>
      </c>
      <c r="M10" s="2" t="n">
        <v>7300.81</v>
      </c>
      <c r="N10" s="2" t="n">
        <v>0.75</v>
      </c>
      <c r="O10" s="2"/>
      <c r="P10" s="2"/>
      <c r="Q10" s="2" t="s">
        <v>34</v>
      </c>
      <c r="R10" s="2" t="s">
        <v>34</v>
      </c>
      <c r="S10" s="2"/>
      <c r="T10" s="2" t="n">
        <v>23.25</v>
      </c>
      <c r="U10" s="2" t="n">
        <v>11.5</v>
      </c>
      <c r="V10" s="2" t="n">
        <v>1.98</v>
      </c>
      <c r="W10" s="2" t="s">
        <v>35</v>
      </c>
      <c r="X10" s="2" t="s">
        <v>36</v>
      </c>
      <c r="Y10" s="3" t="n">
        <v>29.7</v>
      </c>
      <c r="Z10" s="2" t="n">
        <v>0.27</v>
      </c>
      <c r="AA10" s="2" t="n">
        <v>3</v>
      </c>
      <c r="AB10" s="2"/>
    </row>
    <row r="11" customFormat="false" ht="15" hidden="false" customHeight="false" outlineLevel="0" collapsed="false">
      <c r="A11" s="2" t="n">
        <v>30</v>
      </c>
      <c r="B11" s="2" t="s">
        <v>62</v>
      </c>
      <c r="C11" s="2" t="s">
        <v>42</v>
      </c>
      <c r="D11" s="2" t="s">
        <v>43</v>
      </c>
      <c r="E11" s="2" t="n">
        <v>4</v>
      </c>
      <c r="F11" s="2" t="s">
        <v>66</v>
      </c>
      <c r="G11" s="2" t="s">
        <v>55</v>
      </c>
      <c r="H11" s="2" t="s">
        <v>44</v>
      </c>
      <c r="I11" s="2" t="n">
        <v>7306.25</v>
      </c>
      <c r="J11" s="2" t="n">
        <v>7282.25</v>
      </c>
      <c r="K11" s="2" t="n">
        <v>7306.5</v>
      </c>
      <c r="L11" s="2" t="n">
        <v>24</v>
      </c>
      <c r="M11" s="2" t="n">
        <v>7315.85</v>
      </c>
      <c r="N11" s="2" t="n">
        <v>0.4</v>
      </c>
      <c r="O11" s="2"/>
      <c r="P11" s="2"/>
      <c r="Q11" s="2" t="s">
        <v>34</v>
      </c>
      <c r="R11" s="2" t="s">
        <v>34</v>
      </c>
      <c r="S11" s="2"/>
      <c r="T11" s="2" t="n">
        <v>29.5</v>
      </c>
      <c r="U11" s="2" t="n">
        <v>9</v>
      </c>
      <c r="V11" s="2" t="n">
        <v>3.37</v>
      </c>
      <c r="W11" s="2" t="s">
        <v>35</v>
      </c>
      <c r="X11" s="2" t="s">
        <v>36</v>
      </c>
      <c r="Y11" s="3" t="n">
        <v>50.5</v>
      </c>
      <c r="Z11" s="2" t="n">
        <v>0.14</v>
      </c>
      <c r="AA11" s="2" t="n">
        <v>4</v>
      </c>
      <c r="AB11" s="2"/>
    </row>
    <row r="12" customFormat="false" ht="15" hidden="false" customHeight="false" outlineLevel="0" collapsed="false">
      <c r="A12" s="2" t="n">
        <v>31</v>
      </c>
      <c r="B12" s="2" t="s">
        <v>62</v>
      </c>
      <c r="C12" s="2" t="s">
        <v>67</v>
      </c>
      <c r="D12" s="2" t="s">
        <v>68</v>
      </c>
      <c r="E12" s="2" t="n">
        <v>4</v>
      </c>
      <c r="F12" s="2" t="s">
        <v>66</v>
      </c>
      <c r="G12" s="2" t="s">
        <v>32</v>
      </c>
      <c r="H12" s="2" t="s">
        <v>69</v>
      </c>
      <c r="I12" s="2" t="n">
        <v>7320.75</v>
      </c>
      <c r="J12" s="2" t="n">
        <v>7336.5</v>
      </c>
      <c r="K12" s="2" t="n">
        <v>7320.5</v>
      </c>
      <c r="L12" s="2" t="n">
        <v>15.8</v>
      </c>
      <c r="M12" s="2" t="n">
        <v>7312.88</v>
      </c>
      <c r="N12" s="2" t="n">
        <v>0.5</v>
      </c>
      <c r="O12" s="2"/>
      <c r="P12" s="2"/>
      <c r="Q12" s="2" t="s">
        <v>34</v>
      </c>
      <c r="R12" s="2" t="s">
        <v>34</v>
      </c>
      <c r="S12" s="2"/>
      <c r="T12" s="2" t="n">
        <v>57.75</v>
      </c>
      <c r="U12" s="2" t="n">
        <v>0</v>
      </c>
      <c r="V12" s="2" t="n">
        <v>13.46</v>
      </c>
      <c r="W12" s="2" t="s">
        <v>45</v>
      </c>
      <c r="X12" s="2" t="s">
        <v>36</v>
      </c>
      <c r="Y12" s="3" t="n">
        <v>201.85</v>
      </c>
      <c r="Z12" s="2" t="n">
        <v>0.85</v>
      </c>
      <c r="AA12" s="2" t="n">
        <v>18</v>
      </c>
      <c r="AB12" s="2"/>
    </row>
    <row r="13" customFormat="false" ht="15" hidden="false" customHeight="false" outlineLevel="0" collapsed="false">
      <c r="A13" s="2" t="n">
        <v>32</v>
      </c>
      <c r="B13" s="2" t="s">
        <v>62</v>
      </c>
      <c r="C13" s="2" t="s">
        <v>70</v>
      </c>
      <c r="D13" s="2" t="s">
        <v>71</v>
      </c>
      <c r="E13" s="2" t="n">
        <v>4</v>
      </c>
      <c r="F13" s="2" t="s">
        <v>66</v>
      </c>
      <c r="G13" s="2" t="s">
        <v>32</v>
      </c>
      <c r="H13" s="2" t="s">
        <v>69</v>
      </c>
      <c r="I13" s="2" t="n">
        <v>7297.5</v>
      </c>
      <c r="J13" s="2" t="n">
        <v>7336.5</v>
      </c>
      <c r="K13" s="2" t="n">
        <v>7297.25</v>
      </c>
      <c r="L13" s="2" t="n">
        <v>39</v>
      </c>
      <c r="M13" s="2" t="n">
        <v>7281.9</v>
      </c>
      <c r="N13" s="2" t="n">
        <v>0.4</v>
      </c>
      <c r="O13" s="2"/>
      <c r="P13" s="2"/>
      <c r="Q13" s="2" t="s">
        <v>34</v>
      </c>
      <c r="R13" s="2" t="s">
        <v>34</v>
      </c>
      <c r="S13" s="2"/>
      <c r="T13" s="2" t="n">
        <v>34.5</v>
      </c>
      <c r="U13" s="2" t="n">
        <v>22.75</v>
      </c>
      <c r="V13" s="2" t="n">
        <v>5.37</v>
      </c>
      <c r="W13" s="2" t="s">
        <v>35</v>
      </c>
      <c r="X13" s="2" t="s">
        <v>36</v>
      </c>
      <c r="Y13" s="3" t="n">
        <v>80.5</v>
      </c>
      <c r="Z13" s="2" t="n">
        <v>0.14</v>
      </c>
      <c r="AA13" s="2" t="n">
        <v>11</v>
      </c>
      <c r="AB13" s="2" t="s">
        <v>72</v>
      </c>
    </row>
    <row r="14" customFormat="false" ht="15" hidden="false" customHeight="false" outlineLevel="0" collapsed="false">
      <c r="A14" s="2" t="n">
        <v>33</v>
      </c>
      <c r="B14" s="2" t="s">
        <v>62</v>
      </c>
      <c r="C14" s="2" t="s">
        <v>70</v>
      </c>
      <c r="D14" s="2" t="s">
        <v>71</v>
      </c>
      <c r="E14" s="2" t="n">
        <v>2</v>
      </c>
      <c r="F14" s="2" t="s">
        <v>40</v>
      </c>
      <c r="G14" s="2" t="s">
        <v>32</v>
      </c>
      <c r="H14" s="2" t="s">
        <v>69</v>
      </c>
      <c r="I14" s="2" t="n">
        <v>7297.75</v>
      </c>
      <c r="J14" s="2" t="n">
        <v>7331.25</v>
      </c>
      <c r="K14" s="2" t="n">
        <v>7297.5</v>
      </c>
      <c r="L14" s="2" t="n">
        <v>33.5</v>
      </c>
      <c r="M14" s="2" t="n">
        <v>7284.35</v>
      </c>
      <c r="N14" s="2" t="n">
        <v>0.4</v>
      </c>
      <c r="O14" s="2" t="n">
        <v>7230.75</v>
      </c>
      <c r="P14" s="2"/>
      <c r="Q14" s="2" t="s">
        <v>34</v>
      </c>
      <c r="R14" s="2" t="s">
        <v>34</v>
      </c>
      <c r="S14" s="2"/>
      <c r="T14" s="2" t="n">
        <v>34.75</v>
      </c>
      <c r="U14" s="2" t="n">
        <v>22.5</v>
      </c>
      <c r="V14" s="2" t="n">
        <v>4.63</v>
      </c>
      <c r="W14" s="2" t="s">
        <v>35</v>
      </c>
      <c r="X14" s="2" t="s">
        <v>36</v>
      </c>
      <c r="Y14" s="3" t="n">
        <v>69.5</v>
      </c>
      <c r="Z14" s="2" t="n">
        <v>0.14</v>
      </c>
      <c r="AA14" s="2" t="n">
        <v>11</v>
      </c>
      <c r="AB14" s="2" t="s">
        <v>73</v>
      </c>
    </row>
    <row r="15" customFormat="false" ht="15" hidden="false" customHeight="false" outlineLevel="0" collapsed="false">
      <c r="A15" s="2" t="n">
        <v>34</v>
      </c>
      <c r="B15" s="2" t="s">
        <v>62</v>
      </c>
      <c r="C15" s="2" t="s">
        <v>74</v>
      </c>
      <c r="D15" s="2" t="s">
        <v>75</v>
      </c>
      <c r="E15" s="2" t="n">
        <v>4</v>
      </c>
      <c r="F15" s="2" t="s">
        <v>66</v>
      </c>
      <c r="G15" s="2" t="s">
        <v>32</v>
      </c>
      <c r="H15" s="2" t="s">
        <v>69</v>
      </c>
      <c r="I15" s="2" t="n">
        <v>7290</v>
      </c>
      <c r="J15" s="2" t="n">
        <v>7336.5</v>
      </c>
      <c r="K15" s="2" t="n">
        <v>7289.75</v>
      </c>
      <c r="L15" s="2" t="n">
        <v>46.5</v>
      </c>
      <c r="M15" s="2" t="n">
        <v>7271.4</v>
      </c>
      <c r="N15" s="2" t="n">
        <v>0.4</v>
      </c>
      <c r="O15" s="2"/>
      <c r="P15" s="2"/>
      <c r="Q15" s="2" t="s">
        <v>34</v>
      </c>
      <c r="R15" s="2" t="s">
        <v>34</v>
      </c>
      <c r="S15" s="2"/>
      <c r="T15" s="2" t="n">
        <v>19.75</v>
      </c>
      <c r="U15" s="2" t="n">
        <v>30.25</v>
      </c>
      <c r="V15" s="2" t="n">
        <v>6.37</v>
      </c>
      <c r="W15" s="2" t="s">
        <v>35</v>
      </c>
      <c r="X15" s="2" t="s">
        <v>36</v>
      </c>
      <c r="Y15" s="3" t="n">
        <v>95.5</v>
      </c>
      <c r="Z15" s="2" t="n">
        <v>0.14</v>
      </c>
      <c r="AA15" s="2" t="n">
        <v>7</v>
      </c>
      <c r="AB15" s="2" t="s">
        <v>76</v>
      </c>
    </row>
    <row r="16" customFormat="false" ht="15" hidden="false" customHeight="false" outlineLevel="0" collapsed="false">
      <c r="A16" s="2" t="n">
        <v>35</v>
      </c>
      <c r="B16" s="2" t="s">
        <v>62</v>
      </c>
      <c r="C16" s="2" t="s">
        <v>77</v>
      </c>
      <c r="D16" s="2" t="s">
        <v>78</v>
      </c>
      <c r="E16" s="2" t="n">
        <v>4</v>
      </c>
      <c r="F16" s="2" t="s">
        <v>65</v>
      </c>
      <c r="G16" s="2" t="s">
        <v>55</v>
      </c>
      <c r="H16" s="2" t="s">
        <v>69</v>
      </c>
      <c r="I16" s="2" t="n">
        <v>7308.5</v>
      </c>
      <c r="J16" s="2" t="n">
        <v>7288.25</v>
      </c>
      <c r="K16" s="2" t="n">
        <v>7308.75</v>
      </c>
      <c r="L16" s="2" t="n">
        <v>20.2</v>
      </c>
      <c r="M16" s="2" t="n">
        <v>7316.6</v>
      </c>
      <c r="N16" s="2" t="n">
        <v>0.4</v>
      </c>
      <c r="O16" s="2"/>
      <c r="P16" s="2"/>
      <c r="Q16" s="2" t="s">
        <v>34</v>
      </c>
      <c r="R16" s="2" t="s">
        <v>34</v>
      </c>
      <c r="S16" s="2"/>
      <c r="T16" s="2" t="n">
        <v>11.75</v>
      </c>
      <c r="U16" s="2" t="n">
        <v>7.75</v>
      </c>
      <c r="V16" s="2" t="n">
        <v>2.87</v>
      </c>
      <c r="W16" s="2" t="s">
        <v>35</v>
      </c>
      <c r="X16" s="2" t="s">
        <v>36</v>
      </c>
      <c r="Y16" s="3" t="n">
        <v>43</v>
      </c>
      <c r="Z16" s="2" t="n">
        <v>0.14</v>
      </c>
      <c r="AA16" s="2" t="n">
        <v>1</v>
      </c>
      <c r="AB16" s="2"/>
    </row>
    <row r="17" customFormat="false" ht="15" hidden="false" customHeight="false" outlineLevel="0" collapsed="false">
      <c r="A17" s="5" t="n">
        <v>36</v>
      </c>
      <c r="B17" s="5" t="s">
        <v>62</v>
      </c>
      <c r="C17" s="5" t="s">
        <v>79</v>
      </c>
      <c r="D17" s="5" t="s">
        <v>80</v>
      </c>
      <c r="E17" s="5" t="n">
        <v>4</v>
      </c>
      <c r="F17" s="5" t="s">
        <v>65</v>
      </c>
      <c r="G17" s="5" t="s">
        <v>32</v>
      </c>
      <c r="H17" s="5" t="s">
        <v>69</v>
      </c>
      <c r="I17" s="5" t="n">
        <v>7301.25</v>
      </c>
      <c r="J17" s="5" t="n">
        <v>7318.25</v>
      </c>
      <c r="K17" s="5" t="n">
        <v>7318.25</v>
      </c>
      <c r="L17" s="5" t="n">
        <v>17</v>
      </c>
      <c r="M17" s="5" t="n">
        <v>7292.75</v>
      </c>
      <c r="N17" s="5" t="n">
        <v>0.5</v>
      </c>
      <c r="O17" s="5"/>
      <c r="P17" s="5"/>
      <c r="Q17" s="5"/>
      <c r="R17" s="5"/>
      <c r="S17" s="5"/>
      <c r="T17" s="5" t="n">
        <v>0</v>
      </c>
      <c r="U17" s="5" t="n">
        <v>17.25</v>
      </c>
      <c r="V17" s="5" t="n">
        <v>-17</v>
      </c>
      <c r="W17" s="5" t="s">
        <v>35</v>
      </c>
      <c r="X17" s="5" t="s">
        <v>56</v>
      </c>
      <c r="Y17" s="6" t="n">
        <v>-255</v>
      </c>
      <c r="Z17" s="5" t="n">
        <v>-1</v>
      </c>
      <c r="AA17" s="5" t="n">
        <v>1</v>
      </c>
      <c r="AB17" s="5"/>
    </row>
    <row r="18" customFormat="false" ht="15" hidden="false" customHeight="false" outlineLevel="0" collapsed="false">
      <c r="A18" s="2" t="n">
        <v>37</v>
      </c>
      <c r="B18" s="2" t="s">
        <v>62</v>
      </c>
      <c r="C18" s="2" t="s">
        <v>81</v>
      </c>
      <c r="D18" s="2" t="s">
        <v>82</v>
      </c>
      <c r="E18" s="2" t="n">
        <v>4</v>
      </c>
      <c r="F18" s="2" t="s">
        <v>65</v>
      </c>
      <c r="G18" s="2" t="s">
        <v>32</v>
      </c>
      <c r="H18" s="2" t="s">
        <v>69</v>
      </c>
      <c r="I18" s="2" t="n">
        <v>7300.5</v>
      </c>
      <c r="J18" s="2" t="n">
        <v>7321</v>
      </c>
      <c r="K18" s="2" t="n">
        <v>7300.25</v>
      </c>
      <c r="L18" s="2" t="n">
        <v>20.5</v>
      </c>
      <c r="M18" s="2" t="n">
        <v>7292.3</v>
      </c>
      <c r="N18" s="2" t="n">
        <v>0.4</v>
      </c>
      <c r="O18" s="2"/>
      <c r="P18" s="2"/>
      <c r="Q18" s="2" t="s">
        <v>34</v>
      </c>
      <c r="R18" s="2" t="s">
        <v>34</v>
      </c>
      <c r="S18" s="2"/>
      <c r="T18" s="2" t="n">
        <v>37.5</v>
      </c>
      <c r="U18" s="2" t="n">
        <v>3.25</v>
      </c>
      <c r="V18" s="2" t="n">
        <v>2.9</v>
      </c>
      <c r="W18" s="2" t="s">
        <v>35</v>
      </c>
      <c r="X18" s="2" t="s">
        <v>36</v>
      </c>
      <c r="Y18" s="3" t="n">
        <v>43.5</v>
      </c>
      <c r="Z18" s="2" t="n">
        <v>0.14</v>
      </c>
      <c r="AA18" s="2" t="n">
        <v>5</v>
      </c>
      <c r="AB18" s="2"/>
    </row>
    <row r="19" customFormat="false" ht="15" hidden="false" customHeight="false" outlineLevel="0" collapsed="false">
      <c r="A19" s="2" t="n">
        <v>38</v>
      </c>
      <c r="B19" s="2" t="s">
        <v>62</v>
      </c>
      <c r="C19" s="2" t="s">
        <v>57</v>
      </c>
      <c r="D19" s="2" t="s">
        <v>58</v>
      </c>
      <c r="E19" s="2" t="n">
        <v>4</v>
      </c>
      <c r="F19" s="2" t="s">
        <v>66</v>
      </c>
      <c r="G19" s="2" t="s">
        <v>55</v>
      </c>
      <c r="H19" s="2" t="s">
        <v>33</v>
      </c>
      <c r="I19" s="2" t="n">
        <v>7286.25</v>
      </c>
      <c r="J19" s="2" t="n">
        <v>7262.25</v>
      </c>
      <c r="K19" s="2" t="n">
        <v>7286.5</v>
      </c>
      <c r="L19" s="2" t="n">
        <v>24</v>
      </c>
      <c r="M19" s="2" t="n">
        <v>7295.85</v>
      </c>
      <c r="N19" s="2" t="n">
        <v>0.4</v>
      </c>
      <c r="O19" s="2"/>
      <c r="P19" s="2"/>
      <c r="Q19" s="2" t="s">
        <v>34</v>
      </c>
      <c r="R19" s="2" t="s">
        <v>34</v>
      </c>
      <c r="S19" s="2"/>
      <c r="T19" s="2" t="n">
        <v>17.5</v>
      </c>
      <c r="U19" s="2" t="n">
        <v>0</v>
      </c>
      <c r="V19" s="2" t="n">
        <v>3.37</v>
      </c>
      <c r="W19" s="2" t="s">
        <v>35</v>
      </c>
      <c r="X19" s="2" t="s">
        <v>36</v>
      </c>
      <c r="Y19" s="3" t="n">
        <v>50.5</v>
      </c>
      <c r="Z19" s="2" t="n">
        <v>0.14</v>
      </c>
      <c r="AA19" s="2" t="n">
        <v>1</v>
      </c>
      <c r="AB19" s="2"/>
    </row>
    <row r="20" customFormat="false" ht="15" hidden="false" customHeight="false" outlineLevel="0" collapsed="false">
      <c r="A20" s="2" t="n">
        <v>39</v>
      </c>
      <c r="B20" s="2" t="s">
        <v>62</v>
      </c>
      <c r="C20" s="2" t="s">
        <v>60</v>
      </c>
      <c r="D20" s="2" t="s">
        <v>61</v>
      </c>
      <c r="E20" s="2" t="n">
        <v>4</v>
      </c>
      <c r="F20" s="2" t="s">
        <v>66</v>
      </c>
      <c r="G20" s="2" t="s">
        <v>55</v>
      </c>
      <c r="H20" s="2" t="s">
        <v>33</v>
      </c>
      <c r="I20" s="2" t="n">
        <v>7293</v>
      </c>
      <c r="J20" s="2" t="n">
        <v>7262.25</v>
      </c>
      <c r="K20" s="2" t="n">
        <v>7293.25</v>
      </c>
      <c r="L20" s="2" t="n">
        <v>30.8</v>
      </c>
      <c r="M20" s="2" t="n">
        <v>7305.3</v>
      </c>
      <c r="N20" s="2" t="n">
        <v>0.4</v>
      </c>
      <c r="O20" s="2"/>
      <c r="P20" s="2"/>
      <c r="Q20" s="2" t="s">
        <v>34</v>
      </c>
      <c r="R20" s="2" t="s">
        <v>34</v>
      </c>
      <c r="S20" s="2"/>
      <c r="T20" s="2" t="n">
        <v>14</v>
      </c>
      <c r="U20" s="2" t="n">
        <v>2.25</v>
      </c>
      <c r="V20" s="2" t="n">
        <v>4.27</v>
      </c>
      <c r="W20" s="2" t="s">
        <v>35</v>
      </c>
      <c r="X20" s="2" t="s">
        <v>36</v>
      </c>
      <c r="Y20" s="3" t="n">
        <v>64</v>
      </c>
      <c r="Z20" s="2" t="n">
        <v>0.14</v>
      </c>
      <c r="AA20" s="2" t="n">
        <v>1</v>
      </c>
      <c r="AB20" s="2" t="s">
        <v>83</v>
      </c>
    </row>
    <row r="21" customFormat="false" ht="15" hidden="false" customHeight="false" outlineLevel="0" collapsed="false">
      <c r="A21" s="5" t="n">
        <v>40</v>
      </c>
      <c r="B21" s="5" t="s">
        <v>62</v>
      </c>
      <c r="C21" s="5" t="s">
        <v>84</v>
      </c>
      <c r="D21" s="5" t="s">
        <v>85</v>
      </c>
      <c r="E21" s="5" t="n">
        <v>4</v>
      </c>
      <c r="F21" s="5" t="s">
        <v>65</v>
      </c>
      <c r="G21" s="5" t="s">
        <v>32</v>
      </c>
      <c r="H21" s="5" t="s">
        <v>33</v>
      </c>
      <c r="I21" s="5" t="n">
        <v>7291.75</v>
      </c>
      <c r="J21" s="5" t="n">
        <v>7307.75</v>
      </c>
      <c r="K21" s="5" t="n">
        <v>7307.75</v>
      </c>
      <c r="L21" s="5" t="n">
        <v>16</v>
      </c>
      <c r="M21" s="5" t="n">
        <v>7283.75</v>
      </c>
      <c r="N21" s="5" t="n">
        <v>0.5</v>
      </c>
      <c r="O21" s="5"/>
      <c r="P21" s="5"/>
      <c r="Q21" s="5"/>
      <c r="R21" s="5"/>
      <c r="S21" s="5"/>
      <c r="T21" s="5" t="n">
        <v>0</v>
      </c>
      <c r="U21" s="5" t="n">
        <v>17</v>
      </c>
      <c r="V21" s="5" t="n">
        <v>-16</v>
      </c>
      <c r="W21" s="5" t="s">
        <v>35</v>
      </c>
      <c r="X21" s="5" t="s">
        <v>56</v>
      </c>
      <c r="Y21" s="6" t="n">
        <v>-240</v>
      </c>
      <c r="Z21" s="5" t="n">
        <v>-1</v>
      </c>
      <c r="AA21" s="5" t="n">
        <v>1</v>
      </c>
      <c r="AB21" s="5"/>
    </row>
    <row r="22" customFormat="false" ht="15" hidden="false" customHeight="false" outlineLevel="0" collapsed="false">
      <c r="A22" s="2" t="n">
        <v>41</v>
      </c>
      <c r="B22" s="2" t="s">
        <v>62</v>
      </c>
      <c r="C22" s="2" t="s">
        <v>86</v>
      </c>
      <c r="D22" s="2" t="s">
        <v>87</v>
      </c>
      <c r="E22" s="2" t="n">
        <v>4</v>
      </c>
      <c r="F22" s="2" t="s">
        <v>88</v>
      </c>
      <c r="G22" s="2" t="s">
        <v>55</v>
      </c>
      <c r="H22" s="2" t="s">
        <v>33</v>
      </c>
      <c r="I22" s="2" t="n">
        <v>7304.5</v>
      </c>
      <c r="J22" s="2" t="n">
        <v>7262.25</v>
      </c>
      <c r="K22" s="2" t="n">
        <v>7304.75</v>
      </c>
      <c r="L22" s="2" t="n">
        <v>42.2</v>
      </c>
      <c r="M22" s="2" t="n">
        <v>7307.81</v>
      </c>
      <c r="N22" s="2" t="n">
        <v>0.08</v>
      </c>
      <c r="O22" s="2"/>
      <c r="P22" s="2"/>
      <c r="Q22" s="2" t="s">
        <v>34</v>
      </c>
      <c r="R22" s="2" t="s">
        <v>34</v>
      </c>
      <c r="S22" s="2"/>
      <c r="T22" s="2" t="n">
        <v>5.5</v>
      </c>
      <c r="U22" s="2" t="n">
        <v>17</v>
      </c>
      <c r="V22" s="2" t="n">
        <v>1.27</v>
      </c>
      <c r="W22" s="2" t="s">
        <v>35</v>
      </c>
      <c r="X22" s="2" t="s">
        <v>36</v>
      </c>
      <c r="Y22" s="3" t="n">
        <v>19.05</v>
      </c>
      <c r="Z22" s="2" t="n">
        <v>0.03</v>
      </c>
      <c r="AA22" s="2" t="n">
        <v>4</v>
      </c>
      <c r="AB22" s="2" t="s">
        <v>89</v>
      </c>
    </row>
    <row r="23" customFormat="false" ht="15" hidden="false" customHeight="false" outlineLevel="0" collapsed="false">
      <c r="A23" s="5" t="n">
        <v>42</v>
      </c>
      <c r="B23" s="5" t="s">
        <v>62</v>
      </c>
      <c r="C23" s="5" t="s">
        <v>90</v>
      </c>
      <c r="D23" s="5" t="s">
        <v>91</v>
      </c>
      <c r="E23" s="5" t="n">
        <v>4</v>
      </c>
      <c r="F23" s="5" t="s">
        <v>65</v>
      </c>
      <c r="G23" s="5" t="s">
        <v>32</v>
      </c>
      <c r="H23" s="5" t="s">
        <v>33</v>
      </c>
      <c r="I23" s="5" t="n">
        <v>7291.75</v>
      </c>
      <c r="J23" s="5" t="n">
        <v>7315</v>
      </c>
      <c r="K23" s="5" t="n">
        <v>7315</v>
      </c>
      <c r="L23" s="5" t="n">
        <v>23.2</v>
      </c>
      <c r="M23" s="5" t="n">
        <v>7282.45</v>
      </c>
      <c r="N23" s="5" t="n">
        <v>0.4</v>
      </c>
      <c r="O23" s="5"/>
      <c r="P23" s="5"/>
      <c r="Q23" s="5"/>
      <c r="R23" s="5"/>
      <c r="S23" s="5"/>
      <c r="T23" s="5" t="n">
        <v>0</v>
      </c>
      <c r="U23" s="5" t="n">
        <v>29.25</v>
      </c>
      <c r="V23" s="5" t="n">
        <v>-23.25</v>
      </c>
      <c r="W23" s="5" t="s">
        <v>35</v>
      </c>
      <c r="X23" s="5" t="s">
        <v>56</v>
      </c>
      <c r="Y23" s="6" t="n">
        <v>-348.75</v>
      </c>
      <c r="Z23" s="5" t="n">
        <v>-1</v>
      </c>
      <c r="AA23" s="5" t="n">
        <v>3</v>
      </c>
      <c r="AB23" s="5"/>
    </row>
    <row r="24" customFormat="false" ht="15" hidden="false" customHeight="false" outlineLevel="0" collapsed="false">
      <c r="A24" s="5" t="n">
        <v>43</v>
      </c>
      <c r="B24" s="5" t="s">
        <v>62</v>
      </c>
      <c r="C24" s="5" t="s">
        <v>92</v>
      </c>
      <c r="D24" s="5" t="s">
        <v>93</v>
      </c>
      <c r="E24" s="5" t="n">
        <v>2</v>
      </c>
      <c r="F24" s="5" t="s">
        <v>94</v>
      </c>
      <c r="G24" s="5" t="s">
        <v>55</v>
      </c>
      <c r="H24" s="5" t="s">
        <v>33</v>
      </c>
      <c r="I24" s="5" t="n">
        <v>7318</v>
      </c>
      <c r="J24" s="5" t="n">
        <v>7295.5</v>
      </c>
      <c r="K24" s="5" t="n">
        <v>7295.5</v>
      </c>
      <c r="L24" s="5" t="n">
        <v>22.5</v>
      </c>
      <c r="M24" s="5" t="n">
        <v>7327</v>
      </c>
      <c r="N24" s="5" t="n">
        <v>0.4</v>
      </c>
      <c r="O24" s="5" t="n">
        <v>7363</v>
      </c>
      <c r="P24" s="5"/>
      <c r="Q24" s="5"/>
      <c r="R24" s="5"/>
      <c r="S24" s="5"/>
      <c r="T24" s="5" t="n">
        <v>1.75</v>
      </c>
      <c r="U24" s="5" t="n">
        <v>24.75</v>
      </c>
      <c r="V24" s="5" t="n">
        <v>-22.5</v>
      </c>
      <c r="W24" s="5" t="s">
        <v>35</v>
      </c>
      <c r="X24" s="5" t="s">
        <v>56</v>
      </c>
      <c r="Y24" s="6" t="n">
        <v>-337.5</v>
      </c>
      <c r="Z24" s="5" t="n">
        <v>-1</v>
      </c>
      <c r="AA24" s="5" t="n">
        <v>3</v>
      </c>
      <c r="AB24" s="5"/>
    </row>
    <row r="25" customFormat="false" ht="15" hidden="false" customHeight="false" outlineLevel="0" collapsed="false">
      <c r="A25" s="2" t="n">
        <v>44</v>
      </c>
      <c r="B25" s="2" t="s">
        <v>62</v>
      </c>
      <c r="C25" s="2" t="s">
        <v>95</v>
      </c>
      <c r="D25" s="2" t="s">
        <v>96</v>
      </c>
      <c r="E25" s="2" t="n">
        <v>4</v>
      </c>
      <c r="F25" s="2" t="s">
        <v>66</v>
      </c>
      <c r="G25" s="2" t="s">
        <v>32</v>
      </c>
      <c r="H25" s="2" t="s">
        <v>33</v>
      </c>
      <c r="I25" s="2" t="n">
        <v>7306</v>
      </c>
      <c r="J25" s="2" t="n">
        <v>7323.25</v>
      </c>
      <c r="K25" s="2" t="n">
        <v>7305.75</v>
      </c>
      <c r="L25" s="2" t="n">
        <v>17.2</v>
      </c>
      <c r="M25" s="2" t="n">
        <v>7297.38</v>
      </c>
      <c r="N25" s="2" t="n">
        <v>0.5</v>
      </c>
      <c r="O25" s="2"/>
      <c r="P25" s="2"/>
      <c r="Q25" s="2" t="s">
        <v>34</v>
      </c>
      <c r="R25" s="2" t="s">
        <v>34</v>
      </c>
      <c r="S25" s="2"/>
      <c r="T25" s="2" t="n">
        <v>12.75</v>
      </c>
      <c r="U25" s="2" t="n">
        <v>11.75</v>
      </c>
      <c r="V25" s="2" t="n">
        <v>3.04</v>
      </c>
      <c r="W25" s="2" t="s">
        <v>35</v>
      </c>
      <c r="X25" s="2" t="s">
        <v>36</v>
      </c>
      <c r="Y25" s="3" t="n">
        <v>45.6</v>
      </c>
      <c r="Z25" s="2" t="n">
        <v>0.18</v>
      </c>
      <c r="AA25" s="2" t="n">
        <v>1</v>
      </c>
      <c r="AB25" s="2"/>
    </row>
    <row r="26" customFormat="false" ht="15" hidden="false" customHeight="false" outlineLevel="0" collapsed="false">
      <c r="A26" s="2" t="n">
        <v>45</v>
      </c>
      <c r="B26" s="2" t="s">
        <v>62</v>
      </c>
      <c r="C26" s="2" t="s">
        <v>97</v>
      </c>
      <c r="D26" s="2" t="s">
        <v>98</v>
      </c>
      <c r="E26" s="2" t="n">
        <v>4</v>
      </c>
      <c r="F26" s="2" t="s">
        <v>54</v>
      </c>
      <c r="G26" s="2" t="s">
        <v>32</v>
      </c>
      <c r="H26" s="2" t="s">
        <v>33</v>
      </c>
      <c r="I26" s="2" t="n">
        <v>7297.75</v>
      </c>
      <c r="J26" s="2" t="n">
        <v>7323.25</v>
      </c>
      <c r="K26" s="2" t="n">
        <v>7297.5</v>
      </c>
      <c r="L26" s="2" t="n">
        <v>25.5</v>
      </c>
      <c r="M26" s="2" t="n">
        <v>7287.55</v>
      </c>
      <c r="N26" s="2" t="n">
        <v>0.4</v>
      </c>
      <c r="O26" s="2"/>
      <c r="P26" s="2"/>
      <c r="Q26" s="2" t="s">
        <v>34</v>
      </c>
      <c r="R26" s="2" t="s">
        <v>34</v>
      </c>
      <c r="S26" s="2"/>
      <c r="T26" s="2" t="n">
        <v>25.75</v>
      </c>
      <c r="U26" s="2" t="n">
        <v>48.75</v>
      </c>
      <c r="V26" s="2" t="n">
        <v>3.57</v>
      </c>
      <c r="W26" s="2" t="s">
        <v>35</v>
      </c>
      <c r="X26" s="2" t="s">
        <v>36</v>
      </c>
      <c r="Y26" s="3" t="n">
        <v>53.5</v>
      </c>
      <c r="Z26" s="2" t="n">
        <v>0.14</v>
      </c>
      <c r="AA26" s="2" t="n">
        <v>11</v>
      </c>
      <c r="AB26" s="2" t="s">
        <v>99</v>
      </c>
    </row>
    <row r="27" customFormat="false" ht="15" hidden="false" customHeight="false" outlineLevel="0" collapsed="false">
      <c r="A27" s="2" t="n">
        <v>46</v>
      </c>
      <c r="B27" s="2" t="s">
        <v>62</v>
      </c>
      <c r="C27" s="2" t="s">
        <v>100</v>
      </c>
      <c r="D27" s="2" t="s">
        <v>101</v>
      </c>
      <c r="E27" s="2" t="n">
        <v>4</v>
      </c>
      <c r="F27" s="2" t="s">
        <v>54</v>
      </c>
      <c r="G27" s="2" t="s">
        <v>32</v>
      </c>
      <c r="H27" s="2" t="s">
        <v>33</v>
      </c>
      <c r="I27" s="2" t="n">
        <v>7305.5</v>
      </c>
      <c r="J27" s="2" t="n">
        <v>7323.25</v>
      </c>
      <c r="K27" s="2" t="n">
        <v>7305.25</v>
      </c>
      <c r="L27" s="2" t="n">
        <v>17.8</v>
      </c>
      <c r="M27" s="2" t="n">
        <v>7296.27</v>
      </c>
      <c r="N27" s="2" t="n">
        <v>0.52</v>
      </c>
      <c r="O27" s="2"/>
      <c r="P27" s="2"/>
      <c r="Q27" s="2" t="s">
        <v>34</v>
      </c>
      <c r="R27" s="2" t="s">
        <v>34</v>
      </c>
      <c r="S27" s="2"/>
      <c r="T27" s="2" t="n">
        <v>33.5</v>
      </c>
      <c r="U27" s="2" t="n">
        <v>41</v>
      </c>
      <c r="V27" s="2" t="n">
        <v>3.24</v>
      </c>
      <c r="W27" s="2" t="s">
        <v>35</v>
      </c>
      <c r="X27" s="2" t="s">
        <v>36</v>
      </c>
      <c r="Y27" s="3" t="n">
        <v>48.65</v>
      </c>
      <c r="Z27" s="2" t="n">
        <v>0.18</v>
      </c>
      <c r="AA27" s="2" t="n">
        <v>8</v>
      </c>
      <c r="AB27" s="2"/>
    </row>
    <row r="28" customFormat="false" ht="15" hidden="false" customHeight="false" outlineLevel="0" collapsed="false">
      <c r="A28" s="2" t="n">
        <v>47</v>
      </c>
      <c r="B28" s="2" t="s">
        <v>62</v>
      </c>
      <c r="C28" s="2" t="s">
        <v>102</v>
      </c>
      <c r="D28" s="2" t="s">
        <v>103</v>
      </c>
      <c r="E28" s="2" t="n">
        <v>4</v>
      </c>
      <c r="F28" s="2" t="s">
        <v>54</v>
      </c>
      <c r="G28" s="2" t="s">
        <v>32</v>
      </c>
      <c r="H28" s="2" t="s">
        <v>33</v>
      </c>
      <c r="I28" s="2" t="n">
        <v>7302.5</v>
      </c>
      <c r="J28" s="2" t="n">
        <v>7323.25</v>
      </c>
      <c r="K28" s="2" t="n">
        <v>7302.25</v>
      </c>
      <c r="L28" s="2" t="n">
        <v>20.8</v>
      </c>
      <c r="M28" s="2" t="n">
        <v>7294.2</v>
      </c>
      <c r="N28" s="2" t="n">
        <v>0.4</v>
      </c>
      <c r="O28" s="2"/>
      <c r="P28" s="2"/>
      <c r="Q28" s="2" t="s">
        <v>34</v>
      </c>
      <c r="R28" s="2" t="s">
        <v>34</v>
      </c>
      <c r="S28" s="2"/>
      <c r="T28" s="2" t="n">
        <v>30.5</v>
      </c>
      <c r="U28" s="2" t="n">
        <v>44</v>
      </c>
      <c r="V28" s="2" t="n">
        <v>2.93</v>
      </c>
      <c r="W28" s="2" t="s">
        <v>35</v>
      </c>
      <c r="X28" s="2" t="s">
        <v>36</v>
      </c>
      <c r="Y28" s="3" t="n">
        <v>44</v>
      </c>
      <c r="Z28" s="2" t="n">
        <v>0.14</v>
      </c>
      <c r="AA28" s="2" t="n">
        <v>7</v>
      </c>
      <c r="AB28" s="2"/>
    </row>
    <row r="29" customFormat="false" ht="15" hidden="false" customHeight="false" outlineLevel="0" collapsed="false">
      <c r="A29" s="2" t="n">
        <v>48</v>
      </c>
      <c r="B29" s="2" t="s">
        <v>62</v>
      </c>
      <c r="C29" s="2" t="s">
        <v>104</v>
      </c>
      <c r="D29" s="2" t="s">
        <v>105</v>
      </c>
      <c r="E29" s="2" t="n">
        <v>4</v>
      </c>
      <c r="F29" s="2" t="s">
        <v>54</v>
      </c>
      <c r="G29" s="2" t="s">
        <v>32</v>
      </c>
      <c r="H29" s="2" t="s">
        <v>33</v>
      </c>
      <c r="I29" s="2" t="n">
        <v>7290.5</v>
      </c>
      <c r="J29" s="2" t="n">
        <v>7323.25</v>
      </c>
      <c r="K29" s="2" t="n">
        <v>7290.25</v>
      </c>
      <c r="L29" s="2" t="n">
        <v>32.8</v>
      </c>
      <c r="M29" s="2" t="n">
        <v>7277.4</v>
      </c>
      <c r="N29" s="2" t="n">
        <v>0.4</v>
      </c>
      <c r="O29" s="2"/>
      <c r="P29" s="2"/>
      <c r="Q29" s="2" t="s">
        <v>34</v>
      </c>
      <c r="R29" s="2" t="s">
        <v>34</v>
      </c>
      <c r="S29" s="2"/>
      <c r="T29" s="2" t="n">
        <v>15.5</v>
      </c>
      <c r="U29" s="2" t="n">
        <v>1.5</v>
      </c>
      <c r="V29" s="2" t="n">
        <v>4.53</v>
      </c>
      <c r="W29" s="2" t="s">
        <v>35</v>
      </c>
      <c r="X29" s="2" t="s">
        <v>36</v>
      </c>
      <c r="Y29" s="3" t="n">
        <v>68</v>
      </c>
      <c r="Z29" s="2" t="n">
        <v>0.14</v>
      </c>
      <c r="AA29" s="2" t="n">
        <v>1</v>
      </c>
      <c r="AB29" s="2" t="s">
        <v>106</v>
      </c>
    </row>
    <row r="30" customFormat="false" ht="15" hidden="false" customHeight="false" outlineLevel="0" collapsed="false">
      <c r="A30" s="5" t="n">
        <v>49</v>
      </c>
      <c r="B30" s="5" t="s">
        <v>62</v>
      </c>
      <c r="C30" s="5" t="s">
        <v>107</v>
      </c>
      <c r="D30" s="5" t="s">
        <v>108</v>
      </c>
      <c r="E30" s="5" t="n">
        <v>4</v>
      </c>
      <c r="F30" s="5" t="s">
        <v>54</v>
      </c>
      <c r="G30" s="5" t="s">
        <v>32</v>
      </c>
      <c r="H30" s="5" t="s">
        <v>33</v>
      </c>
      <c r="I30" s="5" t="n">
        <v>7284.25</v>
      </c>
      <c r="J30" s="5" t="n">
        <v>7323.25</v>
      </c>
      <c r="K30" s="5" t="n">
        <v>7323.25</v>
      </c>
      <c r="L30" s="5" t="n">
        <v>39</v>
      </c>
      <c r="M30" s="5" t="n">
        <v>7268.65</v>
      </c>
      <c r="N30" s="5" t="n">
        <v>0.4</v>
      </c>
      <c r="O30" s="5"/>
      <c r="P30" s="5"/>
      <c r="Q30" s="5"/>
      <c r="R30" s="5"/>
      <c r="S30" s="5"/>
      <c r="T30" s="5" t="n">
        <v>12.25</v>
      </c>
      <c r="U30" s="5" t="n">
        <v>62.25</v>
      </c>
      <c r="V30" s="5" t="n">
        <v>-39</v>
      </c>
      <c r="W30" s="5" t="s">
        <v>35</v>
      </c>
      <c r="X30" s="5" t="s">
        <v>56</v>
      </c>
      <c r="Y30" s="6" t="n">
        <v>-585</v>
      </c>
      <c r="Z30" s="5" t="n">
        <v>-1</v>
      </c>
      <c r="AA30" s="5" t="n">
        <v>5</v>
      </c>
      <c r="AB30" s="5" t="s">
        <v>72</v>
      </c>
    </row>
    <row r="31" customFormat="false" ht="15" hidden="false" customHeight="false" outlineLevel="0" collapsed="false">
      <c r="A31" s="2" t="n">
        <v>50</v>
      </c>
      <c r="B31" s="2" t="s">
        <v>62</v>
      </c>
      <c r="C31" s="2" t="s">
        <v>109</v>
      </c>
      <c r="D31" s="2" t="s">
        <v>110</v>
      </c>
      <c r="E31" s="2" t="n">
        <v>4</v>
      </c>
      <c r="F31" s="2" t="s">
        <v>66</v>
      </c>
      <c r="G31" s="2" t="s">
        <v>55</v>
      </c>
      <c r="H31" s="2" t="s">
        <v>33</v>
      </c>
      <c r="I31" s="2" t="n">
        <v>7287.5</v>
      </c>
      <c r="J31" s="2" t="n">
        <v>7274.25</v>
      </c>
      <c r="K31" s="2" t="n">
        <v>7274.25</v>
      </c>
      <c r="L31" s="2" t="n">
        <v>13.2</v>
      </c>
      <c r="M31" s="2" t="n">
        <v>7296.11</v>
      </c>
      <c r="N31" s="2" t="n">
        <v>0.65</v>
      </c>
      <c r="O31" s="2"/>
      <c r="P31" s="2"/>
      <c r="Q31" s="2"/>
      <c r="R31" s="2"/>
      <c r="S31" s="2"/>
      <c r="T31" s="2" t="n">
        <v>0</v>
      </c>
      <c r="U31" s="2" t="n">
        <v>14</v>
      </c>
      <c r="V31" s="2" t="n">
        <v>-13.25</v>
      </c>
      <c r="W31" s="2" t="s">
        <v>35</v>
      </c>
      <c r="X31" s="2" t="s">
        <v>56</v>
      </c>
      <c r="Y31" s="4" t="n">
        <v>-198.75</v>
      </c>
      <c r="Z31" s="2" t="n">
        <v>-1</v>
      </c>
      <c r="AA31" s="2" t="n">
        <v>1</v>
      </c>
      <c r="AB31" s="2"/>
    </row>
    <row r="32" customFormat="false" ht="15" hidden="false" customHeight="false" outlineLevel="0" collapsed="false">
      <c r="A32" s="2" t="n">
        <v>51</v>
      </c>
      <c r="B32" s="2" t="s">
        <v>62</v>
      </c>
      <c r="C32" s="2" t="s">
        <v>111</v>
      </c>
      <c r="D32" s="2" t="s">
        <v>112</v>
      </c>
      <c r="E32" s="2" t="n">
        <v>4</v>
      </c>
      <c r="F32" s="2" t="s">
        <v>66</v>
      </c>
      <c r="G32" s="2" t="s">
        <v>32</v>
      </c>
      <c r="H32" s="2" t="s">
        <v>33</v>
      </c>
      <c r="I32" s="2" t="n">
        <v>7362.25</v>
      </c>
      <c r="J32" s="2" t="n">
        <v>7372.25</v>
      </c>
      <c r="K32" s="2" t="n">
        <v>7372.25</v>
      </c>
      <c r="L32" s="2" t="n">
        <v>10</v>
      </c>
      <c r="M32" s="2" t="n">
        <v>7354.75</v>
      </c>
      <c r="N32" s="2" t="n">
        <v>0.75</v>
      </c>
      <c r="O32" s="2"/>
      <c r="P32" s="2"/>
      <c r="Q32" s="2"/>
      <c r="R32" s="2"/>
      <c r="S32" s="2"/>
      <c r="T32" s="2" t="n">
        <v>0</v>
      </c>
      <c r="U32" s="2" t="n">
        <v>23.25</v>
      </c>
      <c r="V32" s="2" t="n">
        <v>-10</v>
      </c>
      <c r="W32" s="2" t="s">
        <v>35</v>
      </c>
      <c r="X32" s="2" t="s">
        <v>56</v>
      </c>
      <c r="Y32" s="4" t="n">
        <v>-150</v>
      </c>
      <c r="Z32" s="2" t="n">
        <v>-1</v>
      </c>
      <c r="AA32" s="2" t="n">
        <v>1</v>
      </c>
      <c r="AB32" s="2"/>
    </row>
    <row r="33" customFormat="false" ht="15" hidden="false" customHeight="false" outlineLevel="0" collapsed="false">
      <c r="A33" s="2" t="n">
        <v>52</v>
      </c>
      <c r="B33" s="2" t="s">
        <v>62</v>
      </c>
      <c r="C33" s="2" t="s">
        <v>113</v>
      </c>
      <c r="D33" s="2" t="s">
        <v>114</v>
      </c>
      <c r="E33" s="2" t="n">
        <v>4</v>
      </c>
      <c r="F33" s="2" t="s">
        <v>54</v>
      </c>
      <c r="G33" s="2" t="s">
        <v>32</v>
      </c>
      <c r="H33" s="2" t="s">
        <v>33</v>
      </c>
      <c r="I33" s="2" t="n">
        <v>7382.75</v>
      </c>
      <c r="J33" s="2" t="n">
        <v>7387.25</v>
      </c>
      <c r="K33" s="2" t="n">
        <v>7382.5</v>
      </c>
      <c r="L33" s="2" t="n">
        <v>4.5</v>
      </c>
      <c r="M33" s="2" t="n">
        <v>7379.15</v>
      </c>
      <c r="N33" s="2" t="n">
        <v>0.8</v>
      </c>
      <c r="O33" s="2"/>
      <c r="P33" s="2"/>
      <c r="Q33" s="2" t="s">
        <v>34</v>
      </c>
      <c r="R33" s="2" t="s">
        <v>34</v>
      </c>
      <c r="S33" s="2"/>
      <c r="T33" s="2" t="n">
        <v>37.5</v>
      </c>
      <c r="U33" s="2" t="n">
        <v>0.5</v>
      </c>
      <c r="V33" s="2" t="n">
        <v>1.37</v>
      </c>
      <c r="W33" s="2" t="s">
        <v>35</v>
      </c>
      <c r="X33" s="2" t="s">
        <v>36</v>
      </c>
      <c r="Y33" s="3" t="n">
        <v>20.5</v>
      </c>
      <c r="Z33" s="2" t="n">
        <v>0.3</v>
      </c>
      <c r="AA33" s="2" t="n">
        <v>13</v>
      </c>
      <c r="AB33" s="2"/>
    </row>
    <row r="34" customFormat="false" ht="15" hidden="false" customHeight="false" outlineLevel="0" collapsed="false">
      <c r="A34" s="2" t="n">
        <v>53</v>
      </c>
      <c r="B34" s="2" t="s">
        <v>62</v>
      </c>
      <c r="C34" s="2" t="s">
        <v>115</v>
      </c>
      <c r="D34" s="2" t="s">
        <v>116</v>
      </c>
      <c r="E34" s="2" t="n">
        <v>4</v>
      </c>
      <c r="F34" s="2" t="s">
        <v>66</v>
      </c>
      <c r="G34" s="2" t="s">
        <v>32</v>
      </c>
      <c r="H34" s="2" t="s">
        <v>33</v>
      </c>
      <c r="I34" s="2" t="n">
        <v>7367.75</v>
      </c>
      <c r="J34" s="2" t="n">
        <v>7387.25</v>
      </c>
      <c r="K34" s="2" t="n">
        <v>7367.5</v>
      </c>
      <c r="L34" s="2" t="n">
        <v>19.5</v>
      </c>
      <c r="M34" s="2" t="n">
        <v>7358</v>
      </c>
      <c r="N34" s="2" t="n">
        <v>0.5</v>
      </c>
      <c r="O34" s="2"/>
      <c r="P34" s="2"/>
      <c r="Q34" s="2" t="s">
        <v>34</v>
      </c>
      <c r="R34" s="2" t="s">
        <v>34</v>
      </c>
      <c r="S34" s="2"/>
      <c r="T34" s="2" t="n">
        <v>10.25</v>
      </c>
      <c r="U34" s="2" t="n">
        <v>3.5</v>
      </c>
      <c r="V34" s="2" t="n">
        <v>3.42</v>
      </c>
      <c r="W34" s="2" t="s">
        <v>35</v>
      </c>
      <c r="X34" s="2" t="s">
        <v>36</v>
      </c>
      <c r="Y34" s="3" t="n">
        <v>51.25</v>
      </c>
      <c r="Z34" s="2" t="n">
        <v>0.18</v>
      </c>
      <c r="AA34" s="2" t="n">
        <v>1</v>
      </c>
      <c r="AB34" s="2"/>
    </row>
    <row r="35" customFormat="false" ht="15" hidden="false" customHeight="false" outlineLevel="0" collapsed="false">
      <c r="A35" s="2" t="n">
        <v>54</v>
      </c>
      <c r="B35" s="2" t="s">
        <v>62</v>
      </c>
      <c r="C35" s="2" t="s">
        <v>117</v>
      </c>
      <c r="D35" s="2" t="s">
        <v>118</v>
      </c>
      <c r="E35" s="2" t="n">
        <v>4</v>
      </c>
      <c r="F35" s="2" t="s">
        <v>66</v>
      </c>
      <c r="G35" s="2" t="s">
        <v>32</v>
      </c>
      <c r="H35" s="2" t="s">
        <v>33</v>
      </c>
      <c r="I35" s="2" t="n">
        <v>7362.75</v>
      </c>
      <c r="J35" s="2" t="n">
        <v>7387.25</v>
      </c>
      <c r="K35" s="2" t="n">
        <v>7362.5</v>
      </c>
      <c r="L35" s="2" t="n">
        <v>24.5</v>
      </c>
      <c r="M35" s="2" t="n">
        <v>7352.95</v>
      </c>
      <c r="N35" s="2" t="n">
        <v>0.4</v>
      </c>
      <c r="O35" s="2"/>
      <c r="P35" s="2"/>
      <c r="Q35" s="2" t="s">
        <v>34</v>
      </c>
      <c r="R35" s="2" t="s">
        <v>34</v>
      </c>
      <c r="S35" s="2"/>
      <c r="T35" s="2" t="n">
        <v>15.25</v>
      </c>
      <c r="U35" s="2" t="n">
        <v>13.75</v>
      </c>
      <c r="V35" s="2" t="n">
        <v>3.43</v>
      </c>
      <c r="W35" s="2" t="s">
        <v>35</v>
      </c>
      <c r="X35" s="2" t="s">
        <v>36</v>
      </c>
      <c r="Y35" s="3" t="n">
        <v>51.5</v>
      </c>
      <c r="Z35" s="2" t="n">
        <v>0.14</v>
      </c>
      <c r="AA35" s="2" t="n">
        <v>1</v>
      </c>
      <c r="AB35" s="2"/>
    </row>
    <row r="36" customFormat="false" ht="15" hidden="false" customHeight="false" outlineLevel="0" collapsed="false">
      <c r="A36" s="2" t="n">
        <v>55</v>
      </c>
      <c r="B36" s="2" t="s">
        <v>62</v>
      </c>
      <c r="C36" s="2" t="s">
        <v>119</v>
      </c>
      <c r="D36" s="2" t="s">
        <v>120</v>
      </c>
      <c r="E36" s="2" t="n">
        <v>4</v>
      </c>
      <c r="F36" s="2" t="s">
        <v>54</v>
      </c>
      <c r="G36" s="2" t="s">
        <v>32</v>
      </c>
      <c r="H36" s="2" t="s">
        <v>33</v>
      </c>
      <c r="I36" s="2" t="n">
        <v>7369.5</v>
      </c>
      <c r="J36" s="2" t="n">
        <v>7387.25</v>
      </c>
      <c r="K36" s="2" t="n">
        <v>7369.25</v>
      </c>
      <c r="L36" s="2" t="n">
        <v>17.8</v>
      </c>
      <c r="M36" s="2" t="n">
        <v>7360.27</v>
      </c>
      <c r="N36" s="2" t="n">
        <v>0.52</v>
      </c>
      <c r="O36" s="2"/>
      <c r="P36" s="2"/>
      <c r="Q36" s="2" t="s">
        <v>34</v>
      </c>
      <c r="R36" s="2" t="s">
        <v>34</v>
      </c>
      <c r="S36" s="2"/>
      <c r="T36" s="2" t="n">
        <v>24.25</v>
      </c>
      <c r="U36" s="2" t="n">
        <v>8.25</v>
      </c>
      <c r="V36" s="2" t="n">
        <v>3.24</v>
      </c>
      <c r="W36" s="2" t="s">
        <v>35</v>
      </c>
      <c r="X36" s="2" t="s">
        <v>36</v>
      </c>
      <c r="Y36" s="3" t="n">
        <v>48.65</v>
      </c>
      <c r="Z36" s="2" t="n">
        <v>0.18</v>
      </c>
      <c r="AA36" s="2" t="n">
        <v>3</v>
      </c>
      <c r="AB36" s="2"/>
    </row>
    <row r="37" customFormat="false" ht="15" hidden="false" customHeight="false" outlineLevel="0" collapsed="false">
      <c r="A37" s="5" t="n">
        <v>56</v>
      </c>
      <c r="B37" s="5" t="s">
        <v>62</v>
      </c>
      <c r="C37" s="5" t="s">
        <v>121</v>
      </c>
      <c r="D37" s="5" t="s">
        <v>122</v>
      </c>
      <c r="E37" s="5" t="n">
        <v>4</v>
      </c>
      <c r="F37" s="5" t="s">
        <v>54</v>
      </c>
      <c r="G37" s="5" t="s">
        <v>32</v>
      </c>
      <c r="H37" s="5" t="s">
        <v>33</v>
      </c>
      <c r="I37" s="5" t="n">
        <v>7352</v>
      </c>
      <c r="J37" s="5" t="n">
        <v>7387.25</v>
      </c>
      <c r="K37" s="5" t="n">
        <v>7387.25</v>
      </c>
      <c r="L37" s="5" t="n">
        <v>35.2</v>
      </c>
      <c r="M37" s="5" t="n">
        <v>7337.9</v>
      </c>
      <c r="N37" s="5" t="n">
        <v>0.4</v>
      </c>
      <c r="O37" s="5"/>
      <c r="P37" s="5"/>
      <c r="Q37" s="5"/>
      <c r="R37" s="5"/>
      <c r="S37" s="5"/>
      <c r="T37" s="5" t="n">
        <v>1.25</v>
      </c>
      <c r="U37" s="5" t="n">
        <v>40.75</v>
      </c>
      <c r="V37" s="5" t="n">
        <v>-35.25</v>
      </c>
      <c r="W37" s="5" t="s">
        <v>35</v>
      </c>
      <c r="X37" s="5" t="s">
        <v>56</v>
      </c>
      <c r="Y37" s="6" t="n">
        <v>-528.75</v>
      </c>
      <c r="Z37" s="5" t="n">
        <v>-1</v>
      </c>
      <c r="AA37" s="5" t="n">
        <v>13</v>
      </c>
      <c r="AB37" s="5" t="s">
        <v>123</v>
      </c>
    </row>
    <row r="38" customFormat="false" ht="15" hidden="false" customHeight="false" outlineLevel="0" collapsed="false">
      <c r="A38" s="5" t="n">
        <v>57</v>
      </c>
      <c r="B38" s="5" t="s">
        <v>62</v>
      </c>
      <c r="C38" s="5" t="s">
        <v>124</v>
      </c>
      <c r="D38" s="5" t="s">
        <v>125</v>
      </c>
      <c r="E38" s="5" t="n">
        <v>4</v>
      </c>
      <c r="F38" s="5" t="s">
        <v>54</v>
      </c>
      <c r="G38" s="5" t="s">
        <v>32</v>
      </c>
      <c r="H38" s="5" t="s">
        <v>33</v>
      </c>
      <c r="I38" s="5" t="n">
        <v>7353</v>
      </c>
      <c r="J38" s="5" t="n">
        <v>7387.25</v>
      </c>
      <c r="K38" s="5" t="n">
        <v>7387.25</v>
      </c>
      <c r="L38" s="5" t="n">
        <v>34.2</v>
      </c>
      <c r="M38" s="5" t="n">
        <v>7339.3</v>
      </c>
      <c r="N38" s="5" t="n">
        <v>0.4</v>
      </c>
      <c r="O38" s="5"/>
      <c r="P38" s="5"/>
      <c r="Q38" s="5"/>
      <c r="R38" s="5"/>
      <c r="S38" s="5"/>
      <c r="T38" s="5" t="n">
        <v>0</v>
      </c>
      <c r="U38" s="5" t="n">
        <v>39.75</v>
      </c>
      <c r="V38" s="5" t="n">
        <v>-34.25</v>
      </c>
      <c r="W38" s="5" t="s">
        <v>35</v>
      </c>
      <c r="X38" s="5" t="s">
        <v>56</v>
      </c>
      <c r="Y38" s="6" t="n">
        <v>-513.75</v>
      </c>
      <c r="Z38" s="5" t="n">
        <v>-1</v>
      </c>
      <c r="AA38" s="5" t="n">
        <v>12</v>
      </c>
      <c r="AB38" s="5" t="s">
        <v>73</v>
      </c>
    </row>
    <row r="39" customFormat="false" ht="15" hidden="false" customHeight="false" outlineLevel="0" collapsed="false">
      <c r="A39" s="2" t="n">
        <v>58</v>
      </c>
      <c r="B39" s="2" t="s">
        <v>62</v>
      </c>
      <c r="C39" s="2" t="s">
        <v>126</v>
      </c>
      <c r="D39" s="2" t="s">
        <v>127</v>
      </c>
      <c r="E39" s="2" t="n">
        <v>4</v>
      </c>
      <c r="F39" s="2" t="s">
        <v>65</v>
      </c>
      <c r="G39" s="2" t="s">
        <v>55</v>
      </c>
      <c r="H39" s="2" t="s">
        <v>33</v>
      </c>
      <c r="I39" s="2" t="n">
        <v>7375</v>
      </c>
      <c r="J39" s="2" t="n">
        <v>7344.5</v>
      </c>
      <c r="K39" s="2" t="n">
        <v>7375.25</v>
      </c>
      <c r="L39" s="2" t="n">
        <v>30.5</v>
      </c>
      <c r="M39" s="2" t="n">
        <v>7387.2</v>
      </c>
      <c r="N39" s="2" t="n">
        <v>0.4</v>
      </c>
      <c r="O39" s="2"/>
      <c r="P39" s="2"/>
      <c r="Q39" s="2" t="s">
        <v>34</v>
      </c>
      <c r="R39" s="2" t="s">
        <v>34</v>
      </c>
      <c r="S39" s="2"/>
      <c r="T39" s="2" t="n">
        <v>44.75</v>
      </c>
      <c r="U39" s="2" t="n">
        <v>14.5</v>
      </c>
      <c r="V39" s="2" t="n">
        <v>20.57</v>
      </c>
      <c r="W39" s="2" t="s">
        <v>45</v>
      </c>
      <c r="X39" s="2" t="s">
        <v>36</v>
      </c>
      <c r="Y39" s="3" t="n">
        <v>308.5</v>
      </c>
      <c r="Z39" s="2" t="n">
        <v>0.67</v>
      </c>
      <c r="AA39" s="2" t="n">
        <v>18</v>
      </c>
      <c r="AB39" s="2" t="s">
        <v>128</v>
      </c>
    </row>
    <row r="40" customFormat="false" ht="15" hidden="false" customHeight="false" outlineLevel="0" collapsed="false">
      <c r="A40" s="5" t="n">
        <v>59</v>
      </c>
      <c r="B40" s="5" t="s">
        <v>62</v>
      </c>
      <c r="C40" s="5" t="s">
        <v>129</v>
      </c>
      <c r="D40" s="5" t="s">
        <v>130</v>
      </c>
      <c r="E40" s="5" t="n">
        <v>4</v>
      </c>
      <c r="F40" s="5" t="s">
        <v>54</v>
      </c>
      <c r="G40" s="5" t="s">
        <v>32</v>
      </c>
      <c r="H40" s="5" t="s">
        <v>33</v>
      </c>
      <c r="I40" s="5" t="n">
        <v>7365.25</v>
      </c>
      <c r="J40" s="5" t="n">
        <v>7387.25</v>
      </c>
      <c r="K40" s="5" t="n">
        <v>7387.25</v>
      </c>
      <c r="L40" s="5" t="n">
        <v>22</v>
      </c>
      <c r="M40" s="5" t="n">
        <v>7356.45</v>
      </c>
      <c r="N40" s="5" t="n">
        <v>0.4</v>
      </c>
      <c r="O40" s="5"/>
      <c r="P40" s="5"/>
      <c r="Q40" s="5"/>
      <c r="R40" s="5"/>
      <c r="S40" s="5"/>
      <c r="T40" s="5" t="n">
        <v>4.75</v>
      </c>
      <c r="U40" s="5" t="n">
        <v>27.5</v>
      </c>
      <c r="V40" s="5" t="n">
        <v>-22</v>
      </c>
      <c r="W40" s="5" t="s">
        <v>35</v>
      </c>
      <c r="X40" s="5" t="s">
        <v>56</v>
      </c>
      <c r="Y40" s="6" t="n">
        <v>-330</v>
      </c>
      <c r="Z40" s="5" t="n">
        <v>-1</v>
      </c>
      <c r="AA40" s="5" t="n">
        <v>9</v>
      </c>
      <c r="AB40" s="5"/>
    </row>
    <row r="41" customFormat="false" ht="15" hidden="false" customHeight="false" outlineLevel="0" collapsed="false">
      <c r="A41" s="2" t="n">
        <v>60</v>
      </c>
      <c r="B41" s="2" t="s">
        <v>62</v>
      </c>
      <c r="C41" s="2" t="s">
        <v>131</v>
      </c>
      <c r="D41" s="2" t="s">
        <v>132</v>
      </c>
      <c r="E41" s="2" t="n">
        <v>4</v>
      </c>
      <c r="F41" s="2" t="s">
        <v>65</v>
      </c>
      <c r="G41" s="2" t="s">
        <v>55</v>
      </c>
      <c r="H41" s="2" t="s">
        <v>33</v>
      </c>
      <c r="I41" s="2" t="n">
        <v>7369.25</v>
      </c>
      <c r="J41" s="2" t="n">
        <v>7359.75</v>
      </c>
      <c r="K41" s="2" t="n">
        <v>7369.5</v>
      </c>
      <c r="L41" s="2" t="n">
        <v>9.5</v>
      </c>
      <c r="M41" s="2" t="n">
        <v>7376.38</v>
      </c>
      <c r="N41" s="2" t="n">
        <v>0.75</v>
      </c>
      <c r="O41" s="2"/>
      <c r="P41" s="2"/>
      <c r="Q41" s="2" t="s">
        <v>34</v>
      </c>
      <c r="R41" s="2" t="s">
        <v>34</v>
      </c>
      <c r="S41" s="2"/>
      <c r="T41" s="2" t="n">
        <v>50.5</v>
      </c>
      <c r="U41" s="2" t="n">
        <v>0</v>
      </c>
      <c r="V41" s="2" t="n">
        <v>28.21</v>
      </c>
      <c r="W41" s="2" t="s">
        <v>45</v>
      </c>
      <c r="X41" s="2" t="s">
        <v>36</v>
      </c>
      <c r="Y41" s="3" t="n">
        <v>423.15</v>
      </c>
      <c r="Z41" s="2" t="n">
        <v>2.97</v>
      </c>
      <c r="AA41" s="2" t="n">
        <v>18</v>
      </c>
      <c r="AB41" s="2"/>
    </row>
    <row r="42" customFormat="false" ht="15" hidden="false" customHeight="false" outlineLevel="0" collapsed="false">
      <c r="A42" s="2" t="n">
        <v>61</v>
      </c>
      <c r="B42" s="2" t="s">
        <v>62</v>
      </c>
      <c r="C42" s="2" t="s">
        <v>133</v>
      </c>
      <c r="D42" s="2" t="s">
        <v>134</v>
      </c>
      <c r="E42" s="2" t="n">
        <v>4</v>
      </c>
      <c r="F42" s="2" t="s">
        <v>66</v>
      </c>
      <c r="G42" s="2" t="s">
        <v>32</v>
      </c>
      <c r="H42" s="2" t="s">
        <v>33</v>
      </c>
      <c r="I42" s="2" t="n">
        <v>7378.25</v>
      </c>
      <c r="J42" s="2" t="n">
        <v>7384</v>
      </c>
      <c r="K42" s="2" t="n">
        <v>7384</v>
      </c>
      <c r="L42" s="2" t="n">
        <v>5.8</v>
      </c>
      <c r="M42" s="2" t="n">
        <v>7373.94</v>
      </c>
      <c r="N42" s="2" t="n">
        <v>0.75</v>
      </c>
      <c r="O42" s="2"/>
      <c r="P42" s="2"/>
      <c r="Q42" s="2"/>
      <c r="R42" s="2"/>
      <c r="S42" s="2"/>
      <c r="T42" s="2" t="n">
        <v>6</v>
      </c>
      <c r="U42" s="2" t="n">
        <v>7</v>
      </c>
      <c r="V42" s="2" t="n">
        <v>-5.75</v>
      </c>
      <c r="W42" s="2" t="s">
        <v>35</v>
      </c>
      <c r="X42" s="2" t="s">
        <v>56</v>
      </c>
      <c r="Y42" s="4" t="n">
        <v>-86.25</v>
      </c>
      <c r="Z42" s="2" t="n">
        <v>-1</v>
      </c>
      <c r="AA42" s="2" t="n">
        <v>1</v>
      </c>
      <c r="AB42" s="2"/>
    </row>
    <row r="43" customFormat="false" ht="15" hidden="false" customHeight="false" outlineLevel="0" collapsed="false">
      <c r="A43" s="2" t="n">
        <v>62</v>
      </c>
      <c r="B43" s="2" t="s">
        <v>62</v>
      </c>
      <c r="C43" s="2" t="s">
        <v>135</v>
      </c>
      <c r="D43" s="2" t="s">
        <v>136</v>
      </c>
      <c r="E43" s="2" t="n">
        <v>4</v>
      </c>
      <c r="F43" s="2" t="s">
        <v>66</v>
      </c>
      <c r="G43" s="2" t="s">
        <v>32</v>
      </c>
      <c r="H43" s="2" t="s">
        <v>33</v>
      </c>
      <c r="I43" s="2" t="n">
        <v>7381</v>
      </c>
      <c r="J43" s="2" t="n">
        <v>7387.75</v>
      </c>
      <c r="K43" s="2" t="n">
        <v>7387.75</v>
      </c>
      <c r="L43" s="2" t="n">
        <v>6.8</v>
      </c>
      <c r="M43" s="2" t="n">
        <v>7375.94</v>
      </c>
      <c r="N43" s="2" t="n">
        <v>0.75</v>
      </c>
      <c r="O43" s="2"/>
      <c r="P43" s="2"/>
      <c r="Q43" s="2"/>
      <c r="R43" s="2"/>
      <c r="S43" s="2"/>
      <c r="T43" s="2" t="n">
        <v>0</v>
      </c>
      <c r="U43" s="2" t="n">
        <v>13.5</v>
      </c>
      <c r="V43" s="2" t="n">
        <v>-6.75</v>
      </c>
      <c r="W43" s="2" t="s">
        <v>35</v>
      </c>
      <c r="X43" s="2" t="s">
        <v>56</v>
      </c>
      <c r="Y43" s="4" t="n">
        <v>-101.25</v>
      </c>
      <c r="Z43" s="2" t="n">
        <v>-1</v>
      </c>
      <c r="AA43" s="2" t="n">
        <v>1</v>
      </c>
      <c r="AB43" s="2"/>
    </row>
    <row r="44" customFormat="false" ht="15" hidden="false" customHeight="false" outlineLevel="0" collapsed="false">
      <c r="A44" s="2" t="n">
        <v>63</v>
      </c>
      <c r="B44" s="2" t="s">
        <v>137</v>
      </c>
      <c r="C44" s="2" t="s">
        <v>138</v>
      </c>
      <c r="D44" s="2" t="s">
        <v>139</v>
      </c>
      <c r="E44" s="2" t="n">
        <v>4</v>
      </c>
      <c r="F44" s="2" t="s">
        <v>140</v>
      </c>
      <c r="G44" s="2" t="s">
        <v>32</v>
      </c>
      <c r="H44" s="2" t="s">
        <v>44</v>
      </c>
      <c r="I44" s="2" t="n">
        <v>7400</v>
      </c>
      <c r="J44" s="2" t="n">
        <v>7448.5</v>
      </c>
      <c r="K44" s="2" t="n">
        <v>7399.75</v>
      </c>
      <c r="L44" s="2" t="n">
        <v>48.5</v>
      </c>
      <c r="M44" s="2" t="n">
        <v>7380.6</v>
      </c>
      <c r="N44" s="2" t="n">
        <v>0.4</v>
      </c>
      <c r="O44" s="2" t="n">
        <v>7303</v>
      </c>
      <c r="P44" s="2"/>
      <c r="Q44" s="2" t="s">
        <v>34</v>
      </c>
      <c r="R44" s="2" t="s">
        <v>34</v>
      </c>
      <c r="S44" s="2"/>
      <c r="T44" s="2" t="n">
        <v>26</v>
      </c>
      <c r="U44" s="2" t="n">
        <v>10</v>
      </c>
      <c r="V44" s="2" t="n">
        <v>6.63</v>
      </c>
      <c r="W44" s="2" t="s">
        <v>35</v>
      </c>
      <c r="X44" s="2" t="s">
        <v>36</v>
      </c>
      <c r="Y44" s="3" t="n">
        <v>99.5</v>
      </c>
      <c r="Z44" s="2" t="n">
        <v>0.14</v>
      </c>
      <c r="AA44" s="2" t="n">
        <v>1</v>
      </c>
      <c r="AB44" s="2" t="s">
        <v>141</v>
      </c>
    </row>
    <row r="45" customFormat="false" ht="15" hidden="false" customHeight="false" outlineLevel="0" collapsed="false">
      <c r="A45" s="2" t="n">
        <v>65</v>
      </c>
      <c r="B45" s="2" t="s">
        <v>137</v>
      </c>
      <c r="C45" s="2" t="s">
        <v>142</v>
      </c>
      <c r="D45" s="2" t="s">
        <v>143</v>
      </c>
      <c r="E45" s="2" t="n">
        <v>4</v>
      </c>
      <c r="F45" s="2" t="s">
        <v>66</v>
      </c>
      <c r="G45" s="2" t="s">
        <v>55</v>
      </c>
      <c r="H45" s="2" t="s">
        <v>44</v>
      </c>
      <c r="I45" s="2" t="n">
        <v>7377.5</v>
      </c>
      <c r="J45" s="2" t="n">
        <v>7365.75</v>
      </c>
      <c r="K45" s="2" t="n">
        <v>7383.375</v>
      </c>
      <c r="L45" s="2" t="n">
        <v>11.8</v>
      </c>
      <c r="M45" s="2" t="n">
        <v>7385.14</v>
      </c>
      <c r="N45" s="2" t="n">
        <v>0.65</v>
      </c>
      <c r="O45" s="2" t="n">
        <v>7401</v>
      </c>
      <c r="P45" s="2"/>
      <c r="Q45" s="2" t="s">
        <v>34</v>
      </c>
      <c r="R45" s="2" t="s">
        <v>34</v>
      </c>
      <c r="S45" s="2" t="s">
        <v>34</v>
      </c>
      <c r="T45" s="2" t="n">
        <v>30.25</v>
      </c>
      <c r="U45" s="2" t="n">
        <v>0</v>
      </c>
      <c r="V45" s="2" t="n">
        <v>12.34</v>
      </c>
      <c r="W45" s="2" t="s">
        <v>35</v>
      </c>
      <c r="X45" s="2" t="s">
        <v>36</v>
      </c>
      <c r="Y45" s="3" t="n">
        <v>185.08</v>
      </c>
      <c r="Z45" s="2" t="n">
        <v>1.05</v>
      </c>
      <c r="AA45" s="2" t="n">
        <v>1</v>
      </c>
      <c r="AB45" s="2"/>
    </row>
    <row r="46" customFormat="false" ht="15" hidden="false" customHeight="false" outlineLevel="0" collapsed="false">
      <c r="A46" s="2" t="n">
        <v>66</v>
      </c>
      <c r="B46" s="2" t="s">
        <v>137</v>
      </c>
      <c r="C46" s="2" t="s">
        <v>144</v>
      </c>
      <c r="D46" s="2" t="s">
        <v>145</v>
      </c>
      <c r="E46" s="2" t="n">
        <v>4</v>
      </c>
      <c r="F46" s="2" t="s">
        <v>66</v>
      </c>
      <c r="G46" s="2" t="s">
        <v>55</v>
      </c>
      <c r="H46" s="2" t="s">
        <v>44</v>
      </c>
      <c r="I46" s="2" t="n">
        <v>7385.25</v>
      </c>
      <c r="J46" s="2" t="n">
        <v>7365.75</v>
      </c>
      <c r="K46" s="2" t="n">
        <v>7395</v>
      </c>
      <c r="L46" s="2" t="n">
        <v>19.5</v>
      </c>
      <c r="M46" s="2" t="n">
        <v>7395</v>
      </c>
      <c r="N46" s="2" t="n">
        <v>0.5</v>
      </c>
      <c r="O46" s="2" t="n">
        <v>7424.25</v>
      </c>
      <c r="P46" s="2"/>
      <c r="Q46" s="2" t="s">
        <v>34</v>
      </c>
      <c r="R46" s="2" t="s">
        <v>34</v>
      </c>
      <c r="S46" s="2" t="s">
        <v>34</v>
      </c>
      <c r="T46" s="2" t="n">
        <v>43.75</v>
      </c>
      <c r="U46" s="2" t="n">
        <v>0</v>
      </c>
      <c r="V46" s="2" t="n">
        <v>19.5</v>
      </c>
      <c r="W46" s="2" t="s">
        <v>35</v>
      </c>
      <c r="X46" s="2" t="s">
        <v>36</v>
      </c>
      <c r="Y46" s="3" t="n">
        <v>292.5</v>
      </c>
      <c r="Z46" s="2" t="n">
        <v>1</v>
      </c>
      <c r="AA46" s="2" t="n">
        <v>9</v>
      </c>
      <c r="AB46" s="2"/>
    </row>
    <row r="47" customFormat="false" ht="15" hidden="false" customHeight="false" outlineLevel="0" collapsed="false">
      <c r="A47" s="2" t="n">
        <v>67</v>
      </c>
      <c r="B47" s="2" t="s">
        <v>137</v>
      </c>
      <c r="C47" s="2" t="s">
        <v>146</v>
      </c>
      <c r="D47" s="2" t="s">
        <v>147</v>
      </c>
      <c r="E47" s="2" t="n">
        <v>4</v>
      </c>
      <c r="F47" s="2" t="s">
        <v>65</v>
      </c>
      <c r="G47" s="2" t="s">
        <v>55</v>
      </c>
      <c r="H47" s="2" t="s">
        <v>59</v>
      </c>
      <c r="I47" s="2" t="n">
        <v>7404.25</v>
      </c>
      <c r="J47" s="2" t="n">
        <v>7367.5</v>
      </c>
      <c r="K47" s="2" t="n">
        <v>7404.5</v>
      </c>
      <c r="L47" s="2" t="n">
        <v>36.8</v>
      </c>
      <c r="M47" s="2" t="n">
        <v>7418.95</v>
      </c>
      <c r="N47" s="2" t="n">
        <v>0.4</v>
      </c>
      <c r="O47" s="2" t="n">
        <v>7477.75</v>
      </c>
      <c r="P47" s="2"/>
      <c r="Q47" s="2" t="s">
        <v>34</v>
      </c>
      <c r="R47" s="2" t="s">
        <v>34</v>
      </c>
      <c r="S47" s="2"/>
      <c r="T47" s="2" t="n">
        <v>17.5</v>
      </c>
      <c r="U47" s="2" t="n">
        <v>0.25</v>
      </c>
      <c r="V47" s="2" t="n">
        <v>5.07</v>
      </c>
      <c r="W47" s="2" t="s">
        <v>35</v>
      </c>
      <c r="X47" s="2" t="s">
        <v>36</v>
      </c>
      <c r="Y47" s="3" t="n">
        <v>76</v>
      </c>
      <c r="Z47" s="2" t="n">
        <v>0.14</v>
      </c>
      <c r="AA47" s="2" t="n">
        <v>1</v>
      </c>
      <c r="AB47" s="2" t="s">
        <v>148</v>
      </c>
    </row>
    <row r="48" customFormat="false" ht="15" hidden="false" customHeight="false" outlineLevel="0" collapsed="false">
      <c r="A48" s="2" t="n">
        <v>68</v>
      </c>
      <c r="B48" s="2" t="s">
        <v>137</v>
      </c>
      <c r="C48" s="2" t="s">
        <v>67</v>
      </c>
      <c r="D48" s="2" t="s">
        <v>68</v>
      </c>
      <c r="E48" s="2" t="n">
        <v>4</v>
      </c>
      <c r="F48" s="2" t="s">
        <v>65</v>
      </c>
      <c r="G48" s="2" t="s">
        <v>55</v>
      </c>
      <c r="H48" s="2" t="s">
        <v>59</v>
      </c>
      <c r="I48" s="2" t="n">
        <v>7418.5</v>
      </c>
      <c r="J48" s="2" t="n">
        <v>7374.25</v>
      </c>
      <c r="K48" s="2" t="n">
        <v>7418.75</v>
      </c>
      <c r="L48" s="2" t="n">
        <v>44.2</v>
      </c>
      <c r="M48" s="2" t="n">
        <v>7436.2</v>
      </c>
      <c r="N48" s="2" t="n">
        <v>0.4</v>
      </c>
      <c r="O48" s="2" t="n">
        <v>7507</v>
      </c>
      <c r="P48" s="2"/>
      <c r="Q48" s="2" t="s">
        <v>34</v>
      </c>
      <c r="R48" s="2" t="s">
        <v>34</v>
      </c>
      <c r="S48" s="2"/>
      <c r="T48" s="2" t="n">
        <v>43</v>
      </c>
      <c r="U48" s="2" t="n">
        <v>30.25</v>
      </c>
      <c r="V48" s="2" t="n">
        <v>6.07</v>
      </c>
      <c r="W48" s="2" t="s">
        <v>35</v>
      </c>
      <c r="X48" s="2" t="s">
        <v>36</v>
      </c>
      <c r="Y48" s="3" t="n">
        <v>91</v>
      </c>
      <c r="Z48" s="2" t="n">
        <v>0.14</v>
      </c>
      <c r="AA48" s="2" t="n">
        <v>19</v>
      </c>
      <c r="AB48" s="2" t="s">
        <v>149</v>
      </c>
    </row>
    <row r="49" customFormat="false" ht="15" hidden="false" customHeight="false" outlineLevel="0" collapsed="false">
      <c r="A49" s="5" t="n">
        <v>69</v>
      </c>
      <c r="B49" s="5" t="s">
        <v>137</v>
      </c>
      <c r="C49" s="5" t="s">
        <v>150</v>
      </c>
      <c r="D49" s="5" t="s">
        <v>151</v>
      </c>
      <c r="E49" s="5" t="n">
        <v>4</v>
      </c>
      <c r="F49" s="5" t="s">
        <v>65</v>
      </c>
      <c r="G49" s="5" t="s">
        <v>32</v>
      </c>
      <c r="H49" s="5" t="s">
        <v>59</v>
      </c>
      <c r="I49" s="5" t="n">
        <v>7397.25</v>
      </c>
      <c r="J49" s="5" t="n">
        <v>7429.75</v>
      </c>
      <c r="K49" s="5" t="n">
        <v>7429.75</v>
      </c>
      <c r="L49" s="5" t="n">
        <v>32.5</v>
      </c>
      <c r="M49" s="5" t="n">
        <v>7384.25</v>
      </c>
      <c r="N49" s="5" t="n">
        <v>0.4</v>
      </c>
      <c r="O49" s="5" t="n">
        <v>7332.25</v>
      </c>
      <c r="P49" s="5"/>
      <c r="Q49" s="5"/>
      <c r="R49" s="5"/>
      <c r="S49" s="5"/>
      <c r="T49" s="5" t="n">
        <v>6.75</v>
      </c>
      <c r="U49" s="5" t="n">
        <v>37.25</v>
      </c>
      <c r="V49" s="5" t="n">
        <v>-32.5</v>
      </c>
      <c r="W49" s="5" t="s">
        <v>35</v>
      </c>
      <c r="X49" s="5" t="s">
        <v>56</v>
      </c>
      <c r="Y49" s="6" t="n">
        <v>-487.5</v>
      </c>
      <c r="Z49" s="5" t="n">
        <v>-1</v>
      </c>
      <c r="AA49" s="5" t="n">
        <v>1</v>
      </c>
      <c r="AB49" s="5" t="s">
        <v>152</v>
      </c>
    </row>
    <row r="50" customFormat="false" ht="15" hidden="false" customHeight="false" outlineLevel="0" collapsed="false">
      <c r="A50" s="5" t="n">
        <v>70</v>
      </c>
      <c r="B50" s="5" t="s">
        <v>137</v>
      </c>
      <c r="C50" s="5" t="s">
        <v>81</v>
      </c>
      <c r="D50" s="5" t="s">
        <v>82</v>
      </c>
      <c r="E50" s="5" t="n">
        <v>4</v>
      </c>
      <c r="F50" s="5" t="s">
        <v>65</v>
      </c>
      <c r="G50" s="5" t="s">
        <v>32</v>
      </c>
      <c r="H50" s="5" t="s">
        <v>59</v>
      </c>
      <c r="I50" s="5" t="n">
        <v>7391</v>
      </c>
      <c r="J50" s="5" t="n">
        <v>7429.75</v>
      </c>
      <c r="K50" s="5" t="n">
        <v>7429.75</v>
      </c>
      <c r="L50" s="5" t="n">
        <v>38.8</v>
      </c>
      <c r="M50" s="5" t="n">
        <v>7375.5</v>
      </c>
      <c r="N50" s="5" t="n">
        <v>0.4</v>
      </c>
      <c r="O50" s="5" t="n">
        <v>7313.5</v>
      </c>
      <c r="P50" s="5"/>
      <c r="Q50" s="5"/>
      <c r="R50" s="5"/>
      <c r="S50" s="5"/>
      <c r="T50" s="5" t="n">
        <v>0</v>
      </c>
      <c r="U50" s="5" t="n">
        <v>52.5</v>
      </c>
      <c r="V50" s="5" t="n">
        <v>-38.75</v>
      </c>
      <c r="W50" s="5" t="s">
        <v>35</v>
      </c>
      <c r="X50" s="5" t="s">
        <v>56</v>
      </c>
      <c r="Y50" s="6" t="n">
        <v>-581.25</v>
      </c>
      <c r="Z50" s="5" t="n">
        <v>-1</v>
      </c>
      <c r="AA50" s="5" t="n">
        <v>1</v>
      </c>
      <c r="AB50" s="5" t="s">
        <v>72</v>
      </c>
    </row>
    <row r="51" customFormat="false" ht="15" hidden="false" customHeight="false" outlineLevel="0" collapsed="false">
      <c r="A51" s="2" t="n">
        <v>71</v>
      </c>
      <c r="B51" s="2" t="s">
        <v>137</v>
      </c>
      <c r="C51" s="2" t="s">
        <v>153</v>
      </c>
      <c r="D51" s="2" t="s">
        <v>154</v>
      </c>
      <c r="E51" s="2" t="n">
        <v>2</v>
      </c>
      <c r="F51" s="2" t="s">
        <v>155</v>
      </c>
      <c r="G51" s="2" t="s">
        <v>55</v>
      </c>
      <c r="H51" s="2" t="s">
        <v>44</v>
      </c>
      <c r="I51" s="2" t="n">
        <v>7453</v>
      </c>
      <c r="J51" s="2" t="n">
        <v>7448.5</v>
      </c>
      <c r="K51" s="2" t="n">
        <v>7453.25</v>
      </c>
      <c r="L51" s="2" t="n">
        <v>4.5</v>
      </c>
      <c r="M51" s="2" t="n">
        <v>7457.5</v>
      </c>
      <c r="N51" s="2" t="n">
        <v>1</v>
      </c>
      <c r="O51" s="2" t="n">
        <v>7462</v>
      </c>
      <c r="P51" s="2"/>
      <c r="Q51" s="2" t="s">
        <v>34</v>
      </c>
      <c r="R51" s="2" t="s">
        <v>34</v>
      </c>
      <c r="S51" s="2"/>
      <c r="T51" s="2" t="n">
        <v>8</v>
      </c>
      <c r="U51" s="2" t="n">
        <v>8.5</v>
      </c>
      <c r="V51" s="2" t="n">
        <v>1.67</v>
      </c>
      <c r="W51" s="2" t="s">
        <v>35</v>
      </c>
      <c r="X51" s="2" t="s">
        <v>36</v>
      </c>
      <c r="Y51" s="3" t="n">
        <v>25</v>
      </c>
      <c r="Z51" s="2" t="n">
        <v>0.37</v>
      </c>
      <c r="AA51" s="2" t="n">
        <v>2</v>
      </c>
      <c r="AB51" s="2"/>
    </row>
    <row r="52" customFormat="false" ht="15" hidden="false" customHeight="false" outlineLevel="0" collapsed="false">
      <c r="A52" s="2" t="n">
        <v>73</v>
      </c>
      <c r="B52" s="2" t="s">
        <v>137</v>
      </c>
      <c r="C52" s="2" t="s">
        <v>156</v>
      </c>
      <c r="D52" s="2" t="s">
        <v>157</v>
      </c>
      <c r="E52" s="2" t="n">
        <v>2</v>
      </c>
      <c r="F52" s="2" t="s">
        <v>158</v>
      </c>
      <c r="G52" s="2" t="s">
        <v>32</v>
      </c>
      <c r="H52" s="2" t="s">
        <v>33</v>
      </c>
      <c r="I52" s="2" t="n">
        <v>7426.5</v>
      </c>
      <c r="J52" s="2" t="n">
        <v>7437.75</v>
      </c>
      <c r="K52" s="2" t="n">
        <v>7426.25</v>
      </c>
      <c r="L52" s="2" t="n">
        <v>11.2</v>
      </c>
      <c r="M52" s="2" t="n">
        <v>7419.19</v>
      </c>
      <c r="N52" s="2" t="n">
        <v>0.65</v>
      </c>
      <c r="O52" s="2" t="n">
        <v>7404</v>
      </c>
      <c r="P52" s="2"/>
      <c r="Q52" s="2" t="s">
        <v>34</v>
      </c>
      <c r="R52" s="2" t="s">
        <v>34</v>
      </c>
      <c r="S52" s="2"/>
      <c r="T52" s="2" t="n">
        <v>18</v>
      </c>
      <c r="U52" s="2" t="n">
        <v>3.25</v>
      </c>
      <c r="V52" s="2" t="n">
        <v>2.6</v>
      </c>
      <c r="W52" s="2" t="s">
        <v>35</v>
      </c>
      <c r="X52" s="2" t="s">
        <v>36</v>
      </c>
      <c r="Y52" s="3" t="n">
        <v>39.05</v>
      </c>
      <c r="Z52" s="2" t="n">
        <v>0.23</v>
      </c>
      <c r="AA52" s="2" t="n">
        <v>1</v>
      </c>
      <c r="AB52" s="2"/>
    </row>
    <row r="53" customFormat="false" ht="15" hidden="false" customHeight="false" outlineLevel="0" collapsed="false">
      <c r="A53" s="2" t="n">
        <v>74</v>
      </c>
      <c r="B53" s="2" t="s">
        <v>137</v>
      </c>
      <c r="C53" s="2" t="s">
        <v>159</v>
      </c>
      <c r="D53" s="2" t="s">
        <v>160</v>
      </c>
      <c r="E53" s="2" t="n">
        <v>2</v>
      </c>
      <c r="F53" s="2" t="s">
        <v>158</v>
      </c>
      <c r="G53" s="2" t="s">
        <v>32</v>
      </c>
      <c r="H53" s="2" t="s">
        <v>33</v>
      </c>
      <c r="I53" s="2" t="n">
        <v>7412.5</v>
      </c>
      <c r="J53" s="2" t="n">
        <v>7416.5</v>
      </c>
      <c r="K53" s="2" t="n">
        <v>7416.5</v>
      </c>
      <c r="L53" s="2" t="n">
        <v>4</v>
      </c>
      <c r="M53" s="2" t="n">
        <v>7408.5</v>
      </c>
      <c r="N53" s="2" t="n">
        <v>1</v>
      </c>
      <c r="O53" s="2" t="n">
        <v>7404.5</v>
      </c>
      <c r="P53" s="2"/>
      <c r="Q53" s="2"/>
      <c r="R53" s="2"/>
      <c r="S53" s="2"/>
      <c r="T53" s="2"/>
      <c r="U53" s="2"/>
      <c r="V53" s="2" t="n">
        <v>0</v>
      </c>
      <c r="W53" s="2"/>
      <c r="X53" s="2"/>
      <c r="Y53" s="2" t="n">
        <v>0</v>
      </c>
      <c r="Z53" s="2" t="n">
        <v>0</v>
      </c>
      <c r="AA53" s="2" t="n">
        <v>0</v>
      </c>
      <c r="AB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7" t="s">
        <v>161</v>
      </c>
    </row>
    <row r="3" customFormat="false" ht="15" hidden="false" customHeight="false" outlineLevel="0" collapsed="false">
      <c r="A3" s="8" t="s">
        <v>162</v>
      </c>
      <c r="B3" s="2" t="n">
        <f aca="false">COUNTA(Trades!A2:A53)</f>
        <v>52</v>
      </c>
    </row>
    <row r="4" customFormat="false" ht="15" hidden="false" customHeight="false" outlineLevel="0" collapsed="false">
      <c r="A4" s="8" t="s">
        <v>163</v>
      </c>
      <c r="B4" s="2" t="n">
        <f aca="false">COUNTIF(Trades!Y2:Y53,"&gt;0")</f>
        <v>33</v>
      </c>
    </row>
    <row r="5" customFormat="false" ht="15" hidden="false" customHeight="false" outlineLevel="0" collapsed="false">
      <c r="A5" s="8" t="s">
        <v>164</v>
      </c>
      <c r="B5" s="2" t="n">
        <f aca="false">COUNTIF(Trades!Y2:Y53,"&lt;0")</f>
        <v>17</v>
      </c>
    </row>
    <row r="6" customFormat="false" ht="15" hidden="false" customHeight="false" outlineLevel="0" collapsed="false">
      <c r="A6" s="8" t="s">
        <v>165</v>
      </c>
      <c r="B6" s="9" t="n">
        <f aca="false">B3/(B3+B4)</f>
        <v>0.611764705882353</v>
      </c>
    </row>
    <row r="7" customFormat="false" ht="15" hidden="false" customHeight="false" outlineLevel="0" collapsed="false">
      <c r="A7" s="8" t="s">
        <v>166</v>
      </c>
      <c r="B7" s="10" t="n">
        <f aca="false">SUM(Trades!Y2:Y53)</f>
        <v>-1196.59</v>
      </c>
    </row>
    <row r="8" customFormat="false" ht="15" hidden="false" customHeight="false" outlineLevel="0" collapsed="false">
      <c r="A8" s="8" t="s">
        <v>167</v>
      </c>
      <c r="B8" s="2" t="n">
        <f aca="false">SUMIF(Trades!Y2:Y53,"&gt;0")/ABS(SUMIF(Trades!Y2:Y53,"&lt;0"))</f>
        <v>0.75148701973001</v>
      </c>
    </row>
    <row r="9" customFormat="false" ht="15" hidden="false" customHeight="false" outlineLevel="0" collapsed="false">
      <c r="A9" s="8" t="s">
        <v>168</v>
      </c>
      <c r="B9" s="2" t="n">
        <f aca="false">AVERAGE(Trades!L2:L53)</f>
        <v>20.8576923076923</v>
      </c>
    </row>
    <row r="10" customFormat="false" ht="15" hidden="false" customHeight="false" outlineLevel="0" collapsed="false">
      <c r="A10" s="8" t="s">
        <v>169</v>
      </c>
      <c r="B10" s="10" t="n">
        <f aca="false">SUMIFS(Trades!Y2:Y53,Trades!B2:B53,"2026-06-12")</f>
        <v>-260.62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1" t="s">
        <v>5</v>
      </c>
      <c r="B1" s="11" t="s">
        <v>170</v>
      </c>
      <c r="C1" s="11" t="s">
        <v>163</v>
      </c>
      <c r="D1" s="11" t="s">
        <v>164</v>
      </c>
      <c r="E1" s="11" t="s">
        <v>165</v>
      </c>
      <c r="F1" s="11" t="s">
        <v>166</v>
      </c>
    </row>
    <row r="2" customFormat="false" ht="15" hidden="false" customHeight="false" outlineLevel="0" collapsed="false">
      <c r="A2" s="2" t="s">
        <v>31</v>
      </c>
      <c r="B2" s="2" t="n">
        <f aca="false">COUNTIF(Trades!F:F,A2)</f>
        <v>2</v>
      </c>
      <c r="C2" s="2" t="n">
        <f aca="false">COUNTIFS(Trades!F:F,A2,Trades!Y:Y,"&gt;0")</f>
        <v>1</v>
      </c>
      <c r="D2" s="2" t="n">
        <f aca="false">COUNTIFS(Trades!F:F,A2,Trades!Y:Y,"&lt;0")</f>
        <v>0</v>
      </c>
      <c r="E2" s="9" t="n">
        <f aca="false">IF(B2=0,0,C2/B2)</f>
        <v>0.5</v>
      </c>
      <c r="F2" s="10" t="n">
        <f aca="false">SUMIF(Trades!F:F,A2,Trades!Y:Y)</f>
        <v>230</v>
      </c>
    </row>
    <row r="3" customFormat="false" ht="15" hidden="false" customHeight="false" outlineLevel="0" collapsed="false">
      <c r="A3" s="2" t="s">
        <v>140</v>
      </c>
      <c r="B3" s="2" t="n">
        <f aca="false">COUNTIF(Trades!F:F,A3)</f>
        <v>1</v>
      </c>
      <c r="C3" s="2" t="n">
        <f aca="false">COUNTIFS(Trades!F:F,A3,Trades!Y:Y,"&gt;0")</f>
        <v>1</v>
      </c>
      <c r="D3" s="2" t="n">
        <f aca="false">COUNTIFS(Trades!F:F,A3,Trades!Y:Y,"&lt;0")</f>
        <v>0</v>
      </c>
      <c r="E3" s="9" t="n">
        <f aca="false">IF(B3=0,0,C3/B3)</f>
        <v>1</v>
      </c>
      <c r="F3" s="10" t="n">
        <f aca="false">SUMIF(Trades!F:F,A3,Trades!Y:Y)</f>
        <v>99.5</v>
      </c>
    </row>
    <row r="4" customFormat="false" ht="15" hidden="false" customHeight="false" outlineLevel="0" collapsed="false">
      <c r="A4" s="2" t="s">
        <v>88</v>
      </c>
      <c r="B4" s="2" t="n">
        <f aca="false">COUNTIF(Trades!F:F,A4)</f>
        <v>1</v>
      </c>
      <c r="C4" s="2" t="n">
        <f aca="false">COUNTIFS(Trades!F:F,A4,Trades!Y:Y,"&gt;0")</f>
        <v>1</v>
      </c>
      <c r="D4" s="2" t="n">
        <f aca="false">COUNTIFS(Trades!F:F,A4,Trades!Y:Y,"&lt;0")</f>
        <v>0</v>
      </c>
      <c r="E4" s="9" t="n">
        <f aca="false">IF(B4=0,0,C4/B4)</f>
        <v>1</v>
      </c>
      <c r="F4" s="10" t="n">
        <f aca="false">SUMIF(Trades!F:F,A4,Trades!Y:Y)</f>
        <v>19.05</v>
      </c>
    </row>
    <row r="5" customFormat="false" ht="15" hidden="false" customHeight="false" outlineLevel="0" collapsed="false">
      <c r="A5" s="2" t="s">
        <v>54</v>
      </c>
      <c r="B5" s="2" t="n">
        <f aca="false">COUNTIF(Trades!F:F,A5)</f>
        <v>13</v>
      </c>
      <c r="C5" s="2" t="n">
        <f aca="false">COUNTIFS(Trades!F:F,A5,Trades!Y:Y,"&gt;0")</f>
        <v>6</v>
      </c>
      <c r="D5" s="2" t="n">
        <f aca="false">COUNTIFS(Trades!F:F,A5,Trades!Y:Y,"&lt;0")</f>
        <v>7</v>
      </c>
      <c r="E5" s="9" t="n">
        <f aca="false">IF(B5=0,0,C5/B5)</f>
        <v>0.461538461538462</v>
      </c>
      <c r="F5" s="10" t="n">
        <f aca="false">SUMIF(Trades!F:F,A5,Trades!Y:Y)</f>
        <v>-1745.45</v>
      </c>
    </row>
    <row r="6" customFormat="false" ht="15" hidden="false" customHeight="false" outlineLevel="0" collapsed="false">
      <c r="A6" s="2" t="s">
        <v>37</v>
      </c>
      <c r="B6" s="2" t="n">
        <f aca="false">COUNTIF(Trades!F:F,A6)</f>
        <v>2</v>
      </c>
      <c r="C6" s="2" t="n">
        <f aca="false">COUNTIFS(Trades!F:F,A6,Trades!Y:Y,"&gt;0")</f>
        <v>2</v>
      </c>
      <c r="D6" s="2" t="n">
        <f aca="false">COUNTIFS(Trades!F:F,A6,Trades!Y:Y,"&lt;0")</f>
        <v>0</v>
      </c>
      <c r="E6" s="9" t="n">
        <f aca="false">IF(B6=0,0,C6/B6)</f>
        <v>1</v>
      </c>
      <c r="F6" s="10" t="n">
        <f aca="false">SUMIF(Trades!F:F,A6,Trades!Y:Y)</f>
        <v>602.5</v>
      </c>
    </row>
    <row r="7" customFormat="false" ht="15" hidden="false" customHeight="false" outlineLevel="0" collapsed="false">
      <c r="A7" s="2" t="s">
        <v>155</v>
      </c>
      <c r="B7" s="2" t="n">
        <f aca="false">COUNTIF(Trades!F:F,A7)</f>
        <v>1</v>
      </c>
      <c r="C7" s="2" t="n">
        <f aca="false">COUNTIFS(Trades!F:F,A7,Trades!Y:Y,"&gt;0")</f>
        <v>1</v>
      </c>
      <c r="D7" s="2" t="n">
        <f aca="false">COUNTIFS(Trades!F:F,A7,Trades!Y:Y,"&lt;0")</f>
        <v>0</v>
      </c>
      <c r="E7" s="9" t="n">
        <f aca="false">IF(B7=0,0,C7/B7)</f>
        <v>1</v>
      </c>
      <c r="F7" s="10" t="n">
        <f aca="false">SUMIF(Trades!F:F,A7,Trades!Y:Y)</f>
        <v>25</v>
      </c>
    </row>
    <row r="8" customFormat="false" ht="15" hidden="false" customHeight="false" outlineLevel="0" collapsed="false">
      <c r="A8" s="2" t="s">
        <v>158</v>
      </c>
      <c r="B8" s="2" t="n">
        <f aca="false">COUNTIF(Trades!F:F,A8)</f>
        <v>2</v>
      </c>
      <c r="C8" s="2" t="n">
        <f aca="false">COUNTIFS(Trades!F:F,A8,Trades!Y:Y,"&gt;0")</f>
        <v>1</v>
      </c>
      <c r="D8" s="2" t="n">
        <f aca="false">COUNTIFS(Trades!F:F,A8,Trades!Y:Y,"&lt;0")</f>
        <v>0</v>
      </c>
      <c r="E8" s="9" t="n">
        <f aca="false">IF(B8=0,0,C8/B8)</f>
        <v>0.5</v>
      </c>
      <c r="F8" s="10" t="n">
        <f aca="false">SUMIF(Trades!F:F,A8,Trades!Y:Y)</f>
        <v>39.05</v>
      </c>
    </row>
    <row r="9" customFormat="false" ht="15" hidden="false" customHeight="false" outlineLevel="0" collapsed="false">
      <c r="A9" s="2" t="s">
        <v>94</v>
      </c>
      <c r="B9" s="2" t="n">
        <f aca="false">COUNTIF(Trades!F:F,A9)</f>
        <v>1</v>
      </c>
      <c r="C9" s="2" t="n">
        <f aca="false">COUNTIFS(Trades!F:F,A9,Trades!Y:Y,"&gt;0")</f>
        <v>0</v>
      </c>
      <c r="D9" s="2" t="n">
        <f aca="false">COUNTIFS(Trades!F:F,A9,Trades!Y:Y,"&lt;0")</f>
        <v>1</v>
      </c>
      <c r="E9" s="9" t="n">
        <f aca="false">IF(B9=0,0,C9/B9)</f>
        <v>0</v>
      </c>
      <c r="F9" s="10" t="n">
        <f aca="false">SUMIF(Trades!F:F,A9,Trades!Y:Y)</f>
        <v>-337.5</v>
      </c>
    </row>
    <row r="10" customFormat="false" ht="15" hidden="false" customHeight="false" outlineLevel="0" collapsed="false">
      <c r="A10" s="2" t="s">
        <v>40</v>
      </c>
      <c r="B10" s="2" t="n">
        <f aca="false">COUNTIF(Trades!F:F,A10)</f>
        <v>2</v>
      </c>
      <c r="C10" s="2" t="n">
        <f aca="false">COUNTIFS(Trades!F:F,A10,Trades!Y:Y,"&gt;0")</f>
        <v>2</v>
      </c>
      <c r="D10" s="2" t="n">
        <f aca="false">COUNTIFS(Trades!F:F,A10,Trades!Y:Y,"&lt;0")</f>
        <v>0</v>
      </c>
      <c r="E10" s="9" t="n">
        <f aca="false">IF(B10=0,0,C10/B10)</f>
        <v>1</v>
      </c>
      <c r="F10" s="10" t="n">
        <f aca="false">SUMIF(Trades!F:F,A10,Trades!Y:Y)</f>
        <v>136.38</v>
      </c>
    </row>
    <row r="11" customFormat="false" ht="15" hidden="false" customHeight="false" outlineLevel="0" collapsed="false">
      <c r="A11" s="2" t="s">
        <v>66</v>
      </c>
      <c r="B11" s="2" t="n">
        <f aca="false">COUNTIF(Trades!F:F,A11)</f>
        <v>15</v>
      </c>
      <c r="C11" s="2" t="n">
        <f aca="false">COUNTIFS(Trades!F:F,A11,Trades!Y:Y,"&gt;0")</f>
        <v>11</v>
      </c>
      <c r="D11" s="2" t="n">
        <f aca="false">COUNTIFS(Trades!F:F,A11,Trades!Y:Y,"&lt;0")</f>
        <v>4</v>
      </c>
      <c r="E11" s="9" t="n">
        <f aca="false">IF(B11=0,0,C11/B11)</f>
        <v>0.733333333333333</v>
      </c>
      <c r="F11" s="10" t="n">
        <f aca="false">SUMIF(Trades!F:F,A11,Trades!Y:Y)</f>
        <v>632.53</v>
      </c>
    </row>
    <row r="12" customFormat="false" ht="15" hidden="false" customHeight="false" outlineLevel="0" collapsed="false">
      <c r="A12" s="2" t="s">
        <v>65</v>
      </c>
      <c r="B12" s="2" t="n">
        <f aca="false">COUNTIF(Trades!F:F,A12)</f>
        <v>12</v>
      </c>
      <c r="C12" s="2" t="n">
        <f aca="false">COUNTIFS(Trades!F:F,A12,Trades!Y:Y,"&gt;0")</f>
        <v>7</v>
      </c>
      <c r="D12" s="2" t="n">
        <f aca="false">COUNTIFS(Trades!F:F,A12,Trades!Y:Y,"&lt;0")</f>
        <v>5</v>
      </c>
      <c r="E12" s="9" t="n">
        <f aca="false">IF(B12=0,0,C12/B12)</f>
        <v>0.583333333333333</v>
      </c>
      <c r="F12" s="10" t="n">
        <f aca="false">SUMIF(Trades!F:F,A12,Trades!Y:Y)</f>
        <v>-897.65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2" t="s">
        <v>171</v>
      </c>
    </row>
    <row r="2" customFormat="false" ht="15" hidden="false" customHeight="false" outlineLevel="0" collapsed="false">
      <c r="A2" s="11" t="s">
        <v>172</v>
      </c>
      <c r="B2" s="11" t="s">
        <v>173</v>
      </c>
    </row>
    <row r="3" customFormat="false" ht="15" hidden="false" customHeight="false" outlineLevel="0" collapsed="false">
      <c r="A3" s="8" t="s">
        <v>174</v>
      </c>
      <c r="B3" s="13" t="s">
        <v>175</v>
      </c>
    </row>
    <row r="4" customFormat="false" ht="15" hidden="false" customHeight="false" outlineLevel="0" collapsed="false">
      <c r="A4" s="8" t="s">
        <v>176</v>
      </c>
      <c r="B4" s="13" t="s">
        <v>177</v>
      </c>
    </row>
    <row r="5" customFormat="false" ht="15" hidden="false" customHeight="false" outlineLevel="0" collapsed="false">
      <c r="A5" s="8" t="s">
        <v>178</v>
      </c>
      <c r="B5" s="13" t="s">
        <v>179</v>
      </c>
    </row>
    <row r="6" customFormat="false" ht="15" hidden="false" customHeight="false" outlineLevel="0" collapsed="false">
      <c r="A6" s="12" t="s">
        <v>180</v>
      </c>
    </row>
    <row r="7" customFormat="false" ht="15" hidden="false" customHeight="false" outlineLevel="0" collapsed="false">
      <c r="A7" s="11" t="s">
        <v>181</v>
      </c>
      <c r="B7" s="11" t="s">
        <v>182</v>
      </c>
    </row>
    <row r="8" customFormat="false" ht="15" hidden="false" customHeight="false" outlineLevel="0" collapsed="false">
      <c r="A8" s="8" t="s">
        <v>183</v>
      </c>
      <c r="B8" s="13" t="s">
        <v>184</v>
      </c>
    </row>
    <row r="9" customFormat="false" ht="15" hidden="false" customHeight="false" outlineLevel="0" collapsed="false">
      <c r="A9" s="8" t="s">
        <v>185</v>
      </c>
      <c r="B9" s="13" t="s">
        <v>186</v>
      </c>
    </row>
    <row r="10" customFormat="false" ht="15" hidden="false" customHeight="false" outlineLevel="0" collapsed="false">
      <c r="A10" s="8" t="s">
        <v>187</v>
      </c>
      <c r="B10" s="13" t="s">
        <v>188</v>
      </c>
    </row>
    <row r="11" customFormat="false" ht="15" hidden="false" customHeight="false" outlineLevel="0" collapsed="false">
      <c r="A11" s="8" t="s">
        <v>189</v>
      </c>
      <c r="B11" s="13" t="s">
        <v>190</v>
      </c>
    </row>
    <row r="12" customFormat="false" ht="15" hidden="false" customHeight="false" outlineLevel="0" collapsed="false">
      <c r="A12" s="8" t="s">
        <v>191</v>
      </c>
      <c r="B12" s="13" t="s">
        <v>192</v>
      </c>
    </row>
    <row r="13" customFormat="false" ht="15" hidden="false" customHeight="false" outlineLevel="0" collapsed="false">
      <c r="A13" s="8" t="s">
        <v>193</v>
      </c>
      <c r="B13" s="13" t="s">
        <v>194</v>
      </c>
    </row>
    <row r="14" customFormat="false" ht="15" hidden="false" customHeight="false" outlineLevel="0" collapsed="false">
      <c r="A14" s="8" t="s">
        <v>195</v>
      </c>
      <c r="B14" s="13" t="s">
        <v>196</v>
      </c>
    </row>
    <row r="15" customFormat="false" ht="15" hidden="false" customHeight="false" outlineLevel="0" collapsed="false">
      <c r="A15" s="8" t="s">
        <v>197</v>
      </c>
      <c r="B15" s="13" t="s">
        <v>198</v>
      </c>
    </row>
    <row r="16" customFormat="false" ht="15" hidden="false" customHeight="false" outlineLevel="0" collapsed="false">
      <c r="A16" s="8" t="s">
        <v>199</v>
      </c>
      <c r="B16" s="13" t="s">
        <v>200</v>
      </c>
    </row>
    <row r="17" customFormat="false" ht="15" hidden="false" customHeight="false" outlineLevel="0" collapsed="false">
      <c r="A17" s="8" t="s">
        <v>201</v>
      </c>
      <c r="B17" s="13" t="s">
        <v>202</v>
      </c>
    </row>
    <row r="18" customFormat="false" ht="15" hidden="false" customHeight="false" outlineLevel="0" collapsed="false">
      <c r="A18" s="8" t="s">
        <v>203</v>
      </c>
      <c r="B18" s="13" t="s">
        <v>204</v>
      </c>
    </row>
    <row r="19" customFormat="false" ht="15" hidden="false" customHeight="false" outlineLevel="0" collapsed="false">
      <c r="A19" s="12" t="s">
        <v>205</v>
      </c>
    </row>
    <row r="20" customFormat="false" ht="15" hidden="false" customHeight="false" outlineLevel="0" collapsed="false">
      <c r="A20" s="11" t="s">
        <v>206</v>
      </c>
      <c r="B20" s="11" t="s">
        <v>173</v>
      </c>
    </row>
    <row r="21" customFormat="false" ht="15" hidden="false" customHeight="false" outlineLevel="0" collapsed="false">
      <c r="A21" s="8" t="s">
        <v>207</v>
      </c>
      <c r="B21" s="13" t="s">
        <v>208</v>
      </c>
    </row>
    <row r="22" customFormat="false" ht="15" hidden="false" customHeight="false" outlineLevel="0" collapsed="false">
      <c r="A22" s="8" t="s">
        <v>209</v>
      </c>
      <c r="B22" s="13" t="s">
        <v>210</v>
      </c>
    </row>
    <row r="23" customFormat="false" ht="15" hidden="false" customHeight="false" outlineLevel="0" collapsed="false">
      <c r="A23" s="8" t="s">
        <v>211</v>
      </c>
      <c r="B23" s="13" t="s">
        <v>212</v>
      </c>
    </row>
    <row r="24" customFormat="false" ht="15" hidden="false" customHeight="false" outlineLevel="0" collapsed="false">
      <c r="A24" s="8" t="s">
        <v>213</v>
      </c>
      <c r="B24" s="13" t="s">
        <v>214</v>
      </c>
    </row>
    <row r="25" customFormat="false" ht="15" hidden="false" customHeight="false" outlineLevel="0" collapsed="false">
      <c r="A25" s="8" t="s">
        <v>45</v>
      </c>
      <c r="B25" s="13" t="s">
        <v>215</v>
      </c>
    </row>
    <row r="26" customFormat="false" ht="15" hidden="false" customHeight="false" outlineLevel="0" collapsed="false">
      <c r="A26" s="8" t="s">
        <v>216</v>
      </c>
      <c r="B26" s="13" t="s">
        <v>217</v>
      </c>
    </row>
    <row r="27" customFormat="false" ht="15" hidden="false" customHeight="false" outlineLevel="0" collapsed="false">
      <c r="A27" s="12" t="s">
        <v>218</v>
      </c>
    </row>
    <row r="28" customFormat="false" ht="15" hidden="false" customHeight="false" outlineLevel="0" collapsed="false">
      <c r="A28" s="11" t="s">
        <v>219</v>
      </c>
      <c r="B28" s="11" t="s">
        <v>173</v>
      </c>
    </row>
    <row r="29" customFormat="false" ht="15" hidden="false" customHeight="false" outlineLevel="0" collapsed="false">
      <c r="A29" s="8" t="s">
        <v>220</v>
      </c>
      <c r="B29" s="13" t="s">
        <v>221</v>
      </c>
    </row>
    <row r="30" customFormat="false" ht="15" hidden="false" customHeight="false" outlineLevel="0" collapsed="false">
      <c r="A30" s="8" t="s">
        <v>222</v>
      </c>
      <c r="B30" s="13" t="s">
        <v>223</v>
      </c>
    </row>
    <row r="31" customFormat="false" ht="15" hidden="false" customHeight="false" outlineLevel="0" collapsed="false">
      <c r="A31" s="8" t="s">
        <v>224</v>
      </c>
      <c r="B31" s="13" t="s">
        <v>225</v>
      </c>
    </row>
    <row r="32" customFormat="false" ht="15" hidden="false" customHeight="false" outlineLevel="0" collapsed="false">
      <c r="A32" s="8" t="s">
        <v>226</v>
      </c>
      <c r="B32" s="1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1" t="s">
        <v>228</v>
      </c>
      <c r="B1" s="11" t="s">
        <v>229</v>
      </c>
      <c r="C1" s="11" t="s">
        <v>230</v>
      </c>
      <c r="D1" s="11" t="s">
        <v>231</v>
      </c>
    </row>
    <row r="2" customFormat="false" ht="15" hidden="false" customHeight="false" outlineLevel="0" collapsed="false">
      <c r="A2" s="2" t="n">
        <v>10</v>
      </c>
      <c r="B2" s="2" t="s">
        <v>232</v>
      </c>
      <c r="C2" s="2" t="s">
        <v>233</v>
      </c>
      <c r="D2" s="2" t="s">
        <v>234</v>
      </c>
    </row>
    <row r="3" customFormat="false" ht="15" hidden="false" customHeight="false" outlineLevel="0" collapsed="false">
      <c r="A3" s="2" t="n">
        <v>10</v>
      </c>
      <c r="B3" s="2" t="s">
        <v>235</v>
      </c>
      <c r="C3" s="2" t="s">
        <v>236</v>
      </c>
      <c r="D3" s="2" t="s">
        <v>237</v>
      </c>
    </row>
    <row r="4" customFormat="false" ht="15" hidden="false" customHeight="false" outlineLevel="0" collapsed="false">
      <c r="A4" s="2" t="n">
        <v>10</v>
      </c>
      <c r="B4" s="2" t="s">
        <v>238</v>
      </c>
      <c r="C4" s="2" t="s">
        <v>239</v>
      </c>
      <c r="D4" s="2" t="s">
        <v>240</v>
      </c>
    </row>
    <row r="5" customFormat="false" ht="15" hidden="false" customHeight="false" outlineLevel="0" collapsed="false">
      <c r="A5" s="2" t="n">
        <v>10</v>
      </c>
      <c r="B5" s="2" t="s">
        <v>241</v>
      </c>
      <c r="C5" s="2" t="s">
        <v>35</v>
      </c>
      <c r="D5" s="2" t="s">
        <v>242</v>
      </c>
    </row>
    <row r="6" customFormat="false" ht="15" hidden="false" customHeight="false" outlineLevel="0" collapsed="false">
      <c r="A6" s="2" t="n">
        <v>12</v>
      </c>
      <c r="B6" s="2" t="s">
        <v>243</v>
      </c>
      <c r="C6" s="2" t="s">
        <v>233</v>
      </c>
      <c r="D6" s="2" t="s">
        <v>244</v>
      </c>
    </row>
    <row r="7" customFormat="false" ht="15" hidden="false" customHeight="false" outlineLevel="0" collapsed="false">
      <c r="A7" s="2" t="n">
        <v>12</v>
      </c>
      <c r="B7" s="2" t="s">
        <v>245</v>
      </c>
      <c r="C7" s="2" t="s">
        <v>236</v>
      </c>
      <c r="D7" s="2" t="s">
        <v>246</v>
      </c>
    </row>
    <row r="8" customFormat="false" ht="15" hidden="false" customHeight="false" outlineLevel="0" collapsed="false">
      <c r="A8" s="2" t="n">
        <v>12</v>
      </c>
      <c r="B8" s="2" t="s">
        <v>247</v>
      </c>
      <c r="C8" s="2" t="s">
        <v>35</v>
      </c>
      <c r="D8" s="2" t="s">
        <v>248</v>
      </c>
    </row>
    <row r="9" customFormat="false" ht="15" hidden="false" customHeight="false" outlineLevel="0" collapsed="false">
      <c r="A9" s="2" t="n">
        <v>13</v>
      </c>
      <c r="B9" s="2" t="s">
        <v>249</v>
      </c>
      <c r="C9" s="2" t="s">
        <v>233</v>
      </c>
      <c r="D9" s="2" t="s">
        <v>250</v>
      </c>
    </row>
    <row r="10" customFormat="false" ht="15" hidden="false" customHeight="false" outlineLevel="0" collapsed="false">
      <c r="A10" s="2" t="n">
        <v>13</v>
      </c>
      <c r="B10" s="2" t="s">
        <v>251</v>
      </c>
      <c r="C10" s="2" t="s">
        <v>236</v>
      </c>
      <c r="D10" s="2" t="s">
        <v>252</v>
      </c>
    </row>
    <row r="11" customFormat="false" ht="15" hidden="false" customHeight="false" outlineLevel="0" collapsed="false">
      <c r="A11" s="2" t="n">
        <v>13</v>
      </c>
      <c r="B11" s="2" t="s">
        <v>253</v>
      </c>
      <c r="C11" s="2" t="s">
        <v>239</v>
      </c>
      <c r="D11" s="2" t="s">
        <v>250</v>
      </c>
    </row>
    <row r="12" customFormat="false" ht="15" hidden="false" customHeight="false" outlineLevel="0" collapsed="false">
      <c r="A12" s="2" t="n">
        <v>13</v>
      </c>
      <c r="B12" s="2" t="s">
        <v>254</v>
      </c>
      <c r="C12" s="2" t="s">
        <v>35</v>
      </c>
      <c r="D12" s="2" t="s">
        <v>255</v>
      </c>
    </row>
    <row r="13" customFormat="false" ht="15" hidden="false" customHeight="false" outlineLevel="0" collapsed="false">
      <c r="A13" s="2" t="n">
        <v>20</v>
      </c>
      <c r="B13" s="2" t="s">
        <v>256</v>
      </c>
      <c r="C13" s="2" t="s">
        <v>233</v>
      </c>
      <c r="D13" s="2" t="s">
        <v>257</v>
      </c>
    </row>
    <row r="14" customFormat="false" ht="15" hidden="false" customHeight="false" outlineLevel="0" collapsed="false">
      <c r="A14" s="2" t="n">
        <v>20</v>
      </c>
      <c r="B14" s="2" t="s">
        <v>258</v>
      </c>
      <c r="C14" s="2" t="s">
        <v>236</v>
      </c>
      <c r="D14" s="2" t="s">
        <v>259</v>
      </c>
    </row>
    <row r="15" customFormat="false" ht="15" hidden="false" customHeight="false" outlineLevel="0" collapsed="false">
      <c r="A15" s="2" t="n">
        <v>20</v>
      </c>
      <c r="B15" s="2" t="s">
        <v>260</v>
      </c>
      <c r="C15" s="2" t="s">
        <v>239</v>
      </c>
      <c r="D15" s="2" t="s">
        <v>257</v>
      </c>
    </row>
    <row r="16" customFormat="false" ht="15" hidden="false" customHeight="false" outlineLevel="0" collapsed="false">
      <c r="A16" s="2" t="n">
        <v>24</v>
      </c>
      <c r="B16" s="2" t="s">
        <v>261</v>
      </c>
      <c r="C16" s="2" t="s">
        <v>35</v>
      </c>
      <c r="D16" s="2" t="s">
        <v>262</v>
      </c>
    </row>
    <row r="17" customFormat="false" ht="15" hidden="false" customHeight="false" outlineLevel="0" collapsed="false">
      <c r="A17" s="2" t="n">
        <v>26</v>
      </c>
      <c r="B17" s="2" t="s">
        <v>263</v>
      </c>
      <c r="C17" s="2" t="s">
        <v>35</v>
      </c>
      <c r="D17" s="2" t="s">
        <v>264</v>
      </c>
    </row>
    <row r="18" customFormat="false" ht="15" hidden="false" customHeight="false" outlineLevel="0" collapsed="false">
      <c r="A18" s="2" t="n">
        <v>27</v>
      </c>
      <c r="B18" s="2" t="s">
        <v>265</v>
      </c>
      <c r="C18" s="2" t="s">
        <v>35</v>
      </c>
      <c r="D18" s="2" t="s">
        <v>266</v>
      </c>
    </row>
    <row r="19" customFormat="false" ht="15" hidden="false" customHeight="false" outlineLevel="0" collapsed="false">
      <c r="A19" s="2" t="n">
        <v>28</v>
      </c>
      <c r="B19" s="2" t="s">
        <v>267</v>
      </c>
      <c r="C19" s="2" t="s">
        <v>233</v>
      </c>
      <c r="D19" s="2" t="s">
        <v>268</v>
      </c>
    </row>
    <row r="20" customFormat="false" ht="15" hidden="false" customHeight="false" outlineLevel="0" collapsed="false">
      <c r="A20" s="2" t="n">
        <v>28</v>
      </c>
      <c r="B20" s="2" t="s">
        <v>269</v>
      </c>
      <c r="C20" s="2" t="s">
        <v>236</v>
      </c>
      <c r="D20" s="2" t="s">
        <v>270</v>
      </c>
    </row>
    <row r="21" customFormat="false" ht="15" hidden="false" customHeight="false" outlineLevel="0" collapsed="false">
      <c r="A21" s="2" t="n">
        <v>28</v>
      </c>
      <c r="B21" s="2" t="s">
        <v>271</v>
      </c>
      <c r="C21" s="2" t="s">
        <v>35</v>
      </c>
      <c r="D21" s="2" t="s">
        <v>272</v>
      </c>
    </row>
    <row r="22" customFormat="false" ht="15" hidden="false" customHeight="false" outlineLevel="0" collapsed="false">
      <c r="A22" s="2" t="n">
        <v>30</v>
      </c>
      <c r="B22" s="2" t="s">
        <v>273</v>
      </c>
      <c r="C22" s="2" t="s">
        <v>233</v>
      </c>
      <c r="D22" s="2" t="s">
        <v>274</v>
      </c>
    </row>
    <row r="23" customFormat="false" ht="15" hidden="false" customHeight="false" outlineLevel="0" collapsed="false">
      <c r="A23" s="2" t="n">
        <v>30</v>
      </c>
      <c r="B23" s="2" t="s">
        <v>275</v>
      </c>
      <c r="C23" s="2" t="s">
        <v>236</v>
      </c>
      <c r="D23" s="2" t="s">
        <v>276</v>
      </c>
    </row>
    <row r="24" customFormat="false" ht="15" hidden="false" customHeight="false" outlineLevel="0" collapsed="false">
      <c r="A24" s="2" t="n">
        <v>30</v>
      </c>
      <c r="B24" s="2" t="s">
        <v>277</v>
      </c>
      <c r="C24" s="2" t="s">
        <v>35</v>
      </c>
      <c r="D24" s="2" t="s">
        <v>278</v>
      </c>
    </row>
    <row r="25" customFormat="false" ht="15" hidden="false" customHeight="false" outlineLevel="0" collapsed="false">
      <c r="A25" s="2" t="n">
        <v>31</v>
      </c>
      <c r="B25" s="2" t="s">
        <v>279</v>
      </c>
      <c r="C25" s="2" t="s">
        <v>233</v>
      </c>
      <c r="D25" s="2" t="s">
        <v>280</v>
      </c>
    </row>
    <row r="26" customFormat="false" ht="15" hidden="false" customHeight="false" outlineLevel="0" collapsed="false">
      <c r="A26" s="2" t="n">
        <v>31</v>
      </c>
      <c r="B26" s="2" t="s">
        <v>281</v>
      </c>
      <c r="C26" s="2" t="s">
        <v>236</v>
      </c>
      <c r="D26" s="2" t="s">
        <v>282</v>
      </c>
    </row>
    <row r="27" customFormat="false" ht="15" hidden="false" customHeight="false" outlineLevel="0" collapsed="false">
      <c r="A27" s="2" t="n">
        <v>32</v>
      </c>
      <c r="B27" s="2" t="s">
        <v>283</v>
      </c>
      <c r="C27" s="2" t="s">
        <v>233</v>
      </c>
      <c r="D27" s="2" t="s">
        <v>284</v>
      </c>
    </row>
    <row r="28" customFormat="false" ht="15" hidden="false" customHeight="false" outlineLevel="0" collapsed="false">
      <c r="A28" s="2" t="n">
        <v>32</v>
      </c>
      <c r="B28" s="2" t="s">
        <v>285</v>
      </c>
      <c r="C28" s="2" t="s">
        <v>236</v>
      </c>
      <c r="D28" s="2" t="s">
        <v>286</v>
      </c>
    </row>
    <row r="29" customFormat="false" ht="15" hidden="false" customHeight="false" outlineLevel="0" collapsed="false">
      <c r="A29" s="2" t="n">
        <v>32</v>
      </c>
      <c r="B29" s="2" t="s">
        <v>287</v>
      </c>
      <c r="C29" s="2" t="s">
        <v>35</v>
      </c>
      <c r="D29" s="2" t="s">
        <v>288</v>
      </c>
    </row>
    <row r="30" customFormat="false" ht="15" hidden="false" customHeight="false" outlineLevel="0" collapsed="false">
      <c r="A30" s="2" t="n">
        <v>33</v>
      </c>
      <c r="B30" s="2" t="s">
        <v>289</v>
      </c>
      <c r="C30" s="2" t="s">
        <v>233</v>
      </c>
      <c r="D30" s="2" t="s">
        <v>284</v>
      </c>
    </row>
    <row r="31" customFormat="false" ht="15" hidden="false" customHeight="false" outlineLevel="0" collapsed="false">
      <c r="A31" s="2" t="n">
        <v>33</v>
      </c>
      <c r="B31" s="2" t="s">
        <v>290</v>
      </c>
      <c r="C31" s="2" t="s">
        <v>236</v>
      </c>
      <c r="D31" s="2" t="s">
        <v>291</v>
      </c>
    </row>
    <row r="32" customFormat="false" ht="15" hidden="false" customHeight="false" outlineLevel="0" collapsed="false">
      <c r="A32" s="2" t="n">
        <v>33</v>
      </c>
      <c r="B32" s="2" t="s">
        <v>292</v>
      </c>
      <c r="C32" s="2" t="s">
        <v>35</v>
      </c>
      <c r="D32" s="2" t="s">
        <v>293</v>
      </c>
    </row>
    <row r="33" customFormat="false" ht="15" hidden="false" customHeight="false" outlineLevel="0" collapsed="false">
      <c r="A33" s="2" t="n">
        <v>34</v>
      </c>
      <c r="B33" s="2" t="s">
        <v>294</v>
      </c>
      <c r="C33" s="2" t="s">
        <v>233</v>
      </c>
      <c r="D33" s="2" t="s">
        <v>284</v>
      </c>
    </row>
    <row r="34" customFormat="false" ht="15" hidden="false" customHeight="false" outlineLevel="0" collapsed="false">
      <c r="A34" s="2" t="n">
        <v>34</v>
      </c>
      <c r="B34" s="2" t="s">
        <v>295</v>
      </c>
      <c r="C34" s="2" t="s">
        <v>236</v>
      </c>
      <c r="D34" s="2" t="s">
        <v>296</v>
      </c>
    </row>
    <row r="35" customFormat="false" ht="15" hidden="false" customHeight="false" outlineLevel="0" collapsed="false">
      <c r="A35" s="2" t="n">
        <v>34</v>
      </c>
      <c r="B35" s="2" t="s">
        <v>297</v>
      </c>
      <c r="C35" s="2" t="s">
        <v>35</v>
      </c>
      <c r="D35" s="2" t="s">
        <v>298</v>
      </c>
    </row>
    <row r="36" customFormat="false" ht="15" hidden="false" customHeight="false" outlineLevel="0" collapsed="false">
      <c r="A36" s="2" t="n">
        <v>35</v>
      </c>
      <c r="B36" s="2" t="s">
        <v>299</v>
      </c>
      <c r="C36" s="2" t="s">
        <v>233</v>
      </c>
      <c r="D36" s="2" t="s">
        <v>300</v>
      </c>
    </row>
    <row r="37" customFormat="false" ht="15" hidden="false" customHeight="false" outlineLevel="0" collapsed="false">
      <c r="A37" s="2" t="n">
        <v>35</v>
      </c>
      <c r="B37" s="2" t="s">
        <v>301</v>
      </c>
      <c r="C37" s="2" t="s">
        <v>236</v>
      </c>
      <c r="D37" s="2" t="s">
        <v>302</v>
      </c>
    </row>
    <row r="38" customFormat="false" ht="15" hidden="false" customHeight="false" outlineLevel="0" collapsed="false">
      <c r="A38" s="2" t="n">
        <v>35</v>
      </c>
      <c r="B38" s="2" t="s">
        <v>303</v>
      </c>
      <c r="C38" s="2" t="s">
        <v>35</v>
      </c>
      <c r="D38" s="2" t="s">
        <v>304</v>
      </c>
    </row>
    <row r="39" customFormat="false" ht="15" hidden="false" customHeight="false" outlineLevel="0" collapsed="false">
      <c r="A39" s="2" t="n">
        <v>36</v>
      </c>
      <c r="B39" s="2" t="s">
        <v>305</v>
      </c>
      <c r="C39" s="2" t="s">
        <v>35</v>
      </c>
      <c r="D39" s="2" t="s">
        <v>306</v>
      </c>
    </row>
    <row r="40" customFormat="false" ht="15" hidden="false" customHeight="false" outlineLevel="0" collapsed="false">
      <c r="A40" s="2" t="n">
        <v>37</v>
      </c>
      <c r="B40" s="2" t="s">
        <v>307</v>
      </c>
      <c r="C40" s="2" t="s">
        <v>233</v>
      </c>
      <c r="D40" s="2" t="s">
        <v>284</v>
      </c>
    </row>
    <row r="41" customFormat="false" ht="15" hidden="false" customHeight="false" outlineLevel="0" collapsed="false">
      <c r="A41" s="2" t="n">
        <v>37</v>
      </c>
      <c r="B41" s="2" t="s">
        <v>308</v>
      </c>
      <c r="C41" s="2" t="s">
        <v>236</v>
      </c>
      <c r="D41" s="2" t="s">
        <v>309</v>
      </c>
    </row>
    <row r="42" customFormat="false" ht="15" hidden="false" customHeight="false" outlineLevel="0" collapsed="false">
      <c r="A42" s="2" t="n">
        <v>37</v>
      </c>
      <c r="B42" s="2" t="s">
        <v>310</v>
      </c>
      <c r="C42" s="2" t="s">
        <v>35</v>
      </c>
      <c r="D42" s="2" t="s">
        <v>311</v>
      </c>
    </row>
    <row r="43" customFormat="false" ht="15" hidden="false" customHeight="false" outlineLevel="0" collapsed="false">
      <c r="A43" s="2" t="n">
        <v>38</v>
      </c>
      <c r="B43" s="2" t="s">
        <v>312</v>
      </c>
      <c r="C43" s="2" t="s">
        <v>233</v>
      </c>
      <c r="D43" s="2" t="s">
        <v>313</v>
      </c>
    </row>
    <row r="44" customFormat="false" ht="15" hidden="false" customHeight="false" outlineLevel="0" collapsed="false">
      <c r="A44" s="2" t="n">
        <v>38</v>
      </c>
      <c r="B44" s="2" t="s">
        <v>314</v>
      </c>
      <c r="C44" s="2" t="s">
        <v>236</v>
      </c>
      <c r="D44" s="2" t="s">
        <v>315</v>
      </c>
    </row>
    <row r="45" customFormat="false" ht="15" hidden="false" customHeight="false" outlineLevel="0" collapsed="false">
      <c r="A45" s="2" t="n">
        <v>38</v>
      </c>
      <c r="B45" s="2" t="s">
        <v>316</v>
      </c>
      <c r="C45" s="2" t="s">
        <v>35</v>
      </c>
      <c r="D45" s="2" t="s">
        <v>317</v>
      </c>
    </row>
    <row r="46" customFormat="false" ht="15" hidden="false" customHeight="false" outlineLevel="0" collapsed="false">
      <c r="A46" s="2" t="n">
        <v>39</v>
      </c>
      <c r="B46" s="2" t="s">
        <v>318</v>
      </c>
      <c r="C46" s="2" t="s">
        <v>233</v>
      </c>
      <c r="D46" s="2" t="s">
        <v>319</v>
      </c>
    </row>
    <row r="47" customFormat="false" ht="15" hidden="false" customHeight="false" outlineLevel="0" collapsed="false">
      <c r="A47" s="2" t="n">
        <v>39</v>
      </c>
      <c r="B47" s="2" t="s">
        <v>320</v>
      </c>
      <c r="C47" s="2" t="s">
        <v>236</v>
      </c>
      <c r="D47" s="2" t="s">
        <v>321</v>
      </c>
    </row>
    <row r="48" customFormat="false" ht="15" hidden="false" customHeight="false" outlineLevel="0" collapsed="false">
      <c r="A48" s="2" t="n">
        <v>39</v>
      </c>
      <c r="B48" s="2" t="s">
        <v>322</v>
      </c>
      <c r="C48" s="2" t="s">
        <v>35</v>
      </c>
      <c r="D48" s="2" t="s">
        <v>323</v>
      </c>
    </row>
    <row r="49" customFormat="false" ht="15" hidden="false" customHeight="false" outlineLevel="0" collapsed="false">
      <c r="A49" s="2" t="n">
        <v>40</v>
      </c>
      <c r="B49" s="2" t="s">
        <v>324</v>
      </c>
      <c r="C49" s="2" t="s">
        <v>35</v>
      </c>
      <c r="D49" s="2" t="s">
        <v>325</v>
      </c>
    </row>
    <row r="50" customFormat="false" ht="15" hidden="false" customHeight="false" outlineLevel="0" collapsed="false">
      <c r="A50" s="2" t="n">
        <v>41</v>
      </c>
      <c r="B50" s="2" t="s">
        <v>326</v>
      </c>
      <c r="C50" s="2" t="s">
        <v>233</v>
      </c>
      <c r="D50" s="2" t="s">
        <v>327</v>
      </c>
    </row>
    <row r="51" customFormat="false" ht="15" hidden="false" customHeight="false" outlineLevel="0" collapsed="false">
      <c r="A51" s="2" t="n">
        <v>41</v>
      </c>
      <c r="B51" s="2" t="s">
        <v>328</v>
      </c>
      <c r="C51" s="2" t="s">
        <v>236</v>
      </c>
      <c r="D51" s="2" t="s">
        <v>329</v>
      </c>
    </row>
    <row r="52" customFormat="false" ht="15" hidden="false" customHeight="false" outlineLevel="0" collapsed="false">
      <c r="A52" s="2" t="n">
        <v>41</v>
      </c>
      <c r="B52" s="2" t="s">
        <v>330</v>
      </c>
      <c r="C52" s="2" t="s">
        <v>35</v>
      </c>
      <c r="D52" s="2" t="s">
        <v>331</v>
      </c>
    </row>
    <row r="53" customFormat="false" ht="15" hidden="false" customHeight="false" outlineLevel="0" collapsed="false">
      <c r="A53" s="2" t="n">
        <v>42</v>
      </c>
      <c r="B53" s="2" t="s">
        <v>332</v>
      </c>
      <c r="C53" s="2" t="s">
        <v>35</v>
      </c>
      <c r="D53" s="2" t="s">
        <v>333</v>
      </c>
    </row>
    <row r="54" customFormat="false" ht="15" hidden="false" customHeight="false" outlineLevel="0" collapsed="false">
      <c r="A54" s="2" t="n">
        <v>43</v>
      </c>
      <c r="B54" s="2" t="s">
        <v>334</v>
      </c>
      <c r="C54" s="2" t="s">
        <v>35</v>
      </c>
      <c r="D54" s="2" t="s">
        <v>335</v>
      </c>
    </row>
    <row r="55" customFormat="false" ht="15" hidden="false" customHeight="false" outlineLevel="0" collapsed="false">
      <c r="A55" s="2" t="n">
        <v>44</v>
      </c>
      <c r="B55" s="2" t="s">
        <v>336</v>
      </c>
      <c r="C55" s="2" t="s">
        <v>233</v>
      </c>
      <c r="D55" s="2" t="s">
        <v>337</v>
      </c>
    </row>
    <row r="56" customFormat="false" ht="15" hidden="false" customHeight="false" outlineLevel="0" collapsed="false">
      <c r="A56" s="2" t="n">
        <v>44</v>
      </c>
      <c r="B56" s="2" t="s">
        <v>338</v>
      </c>
      <c r="C56" s="2" t="s">
        <v>236</v>
      </c>
      <c r="D56" s="2" t="s">
        <v>339</v>
      </c>
    </row>
    <row r="57" customFormat="false" ht="15" hidden="false" customHeight="false" outlineLevel="0" collapsed="false">
      <c r="A57" s="2" t="n">
        <v>44</v>
      </c>
      <c r="B57" s="2" t="s">
        <v>340</v>
      </c>
      <c r="C57" s="2" t="s">
        <v>35</v>
      </c>
      <c r="D57" s="2" t="s">
        <v>341</v>
      </c>
    </row>
    <row r="58" customFormat="false" ht="15" hidden="false" customHeight="false" outlineLevel="0" collapsed="false">
      <c r="A58" s="2" t="n">
        <v>45</v>
      </c>
      <c r="B58" s="2" t="s">
        <v>342</v>
      </c>
      <c r="C58" s="2" t="s">
        <v>233</v>
      </c>
      <c r="D58" s="2" t="s">
        <v>343</v>
      </c>
    </row>
    <row r="59" customFormat="false" ht="15" hidden="false" customHeight="false" outlineLevel="0" collapsed="false">
      <c r="A59" s="2" t="n">
        <v>45</v>
      </c>
      <c r="B59" s="2" t="s">
        <v>344</v>
      </c>
      <c r="C59" s="2" t="s">
        <v>236</v>
      </c>
      <c r="D59" s="2" t="s">
        <v>345</v>
      </c>
    </row>
    <row r="60" customFormat="false" ht="15" hidden="false" customHeight="false" outlineLevel="0" collapsed="false">
      <c r="A60" s="2" t="n">
        <v>45</v>
      </c>
      <c r="B60" s="2" t="s">
        <v>346</v>
      </c>
      <c r="C60" s="2" t="s">
        <v>35</v>
      </c>
      <c r="D60" s="2" t="s">
        <v>347</v>
      </c>
    </row>
    <row r="61" customFormat="false" ht="15" hidden="false" customHeight="false" outlineLevel="0" collapsed="false">
      <c r="A61" s="2" t="n">
        <v>46</v>
      </c>
      <c r="B61" s="2" t="s">
        <v>348</v>
      </c>
      <c r="C61" s="2" t="s">
        <v>233</v>
      </c>
      <c r="D61" s="2" t="s">
        <v>349</v>
      </c>
    </row>
    <row r="62" customFormat="false" ht="15" hidden="false" customHeight="false" outlineLevel="0" collapsed="false">
      <c r="A62" s="2" t="n">
        <v>46</v>
      </c>
      <c r="B62" s="2" t="s">
        <v>350</v>
      </c>
      <c r="C62" s="2" t="s">
        <v>236</v>
      </c>
      <c r="D62" s="2" t="s">
        <v>351</v>
      </c>
    </row>
    <row r="63" customFormat="false" ht="15" hidden="false" customHeight="false" outlineLevel="0" collapsed="false">
      <c r="A63" s="2" t="n">
        <v>46</v>
      </c>
      <c r="B63" s="2" t="s">
        <v>352</v>
      </c>
      <c r="C63" s="2" t="s">
        <v>35</v>
      </c>
      <c r="D63" s="2" t="s">
        <v>353</v>
      </c>
    </row>
    <row r="64" customFormat="false" ht="15" hidden="false" customHeight="false" outlineLevel="0" collapsed="false">
      <c r="A64" s="2" t="n">
        <v>47</v>
      </c>
      <c r="B64" s="2" t="s">
        <v>354</v>
      </c>
      <c r="C64" s="2" t="s">
        <v>233</v>
      </c>
      <c r="D64" s="2" t="s">
        <v>343</v>
      </c>
    </row>
    <row r="65" customFormat="false" ht="15" hidden="false" customHeight="false" outlineLevel="0" collapsed="false">
      <c r="A65" s="2" t="n">
        <v>47</v>
      </c>
      <c r="B65" s="2" t="s">
        <v>355</v>
      </c>
      <c r="C65" s="2" t="s">
        <v>236</v>
      </c>
      <c r="D65" s="2" t="s">
        <v>356</v>
      </c>
    </row>
    <row r="66" customFormat="false" ht="15" hidden="false" customHeight="false" outlineLevel="0" collapsed="false">
      <c r="A66" s="2" t="n">
        <v>47</v>
      </c>
      <c r="B66" s="2" t="s">
        <v>357</v>
      </c>
      <c r="C66" s="2" t="s">
        <v>35</v>
      </c>
      <c r="D66" s="2" t="s">
        <v>358</v>
      </c>
    </row>
    <row r="67" customFormat="false" ht="15" hidden="false" customHeight="false" outlineLevel="0" collapsed="false">
      <c r="A67" s="2" t="n">
        <v>48</v>
      </c>
      <c r="B67" s="2" t="s">
        <v>359</v>
      </c>
      <c r="C67" s="2" t="s">
        <v>233</v>
      </c>
      <c r="D67" s="2" t="s">
        <v>360</v>
      </c>
    </row>
    <row r="68" customFormat="false" ht="15" hidden="false" customHeight="false" outlineLevel="0" collapsed="false">
      <c r="A68" s="2" t="n">
        <v>48</v>
      </c>
      <c r="B68" s="2" t="s">
        <v>361</v>
      </c>
      <c r="C68" s="2" t="s">
        <v>236</v>
      </c>
      <c r="D68" s="2" t="s">
        <v>362</v>
      </c>
    </row>
    <row r="69" customFormat="false" ht="15" hidden="false" customHeight="false" outlineLevel="0" collapsed="false">
      <c r="A69" s="2" t="n">
        <v>48</v>
      </c>
      <c r="B69" s="2" t="s">
        <v>363</v>
      </c>
      <c r="C69" s="2" t="s">
        <v>35</v>
      </c>
      <c r="D69" s="2" t="s">
        <v>364</v>
      </c>
    </row>
    <row r="70" customFormat="false" ht="15" hidden="false" customHeight="false" outlineLevel="0" collapsed="false">
      <c r="A70" s="2" t="n">
        <v>49</v>
      </c>
      <c r="B70" s="2" t="s">
        <v>365</v>
      </c>
      <c r="C70" s="2" t="s">
        <v>35</v>
      </c>
      <c r="D70" s="2" t="s">
        <v>366</v>
      </c>
    </row>
    <row r="71" customFormat="false" ht="15" hidden="false" customHeight="false" outlineLevel="0" collapsed="false">
      <c r="A71" s="2" t="n">
        <v>50</v>
      </c>
      <c r="B71" s="2" t="s">
        <v>367</v>
      </c>
      <c r="C71" s="2" t="s">
        <v>35</v>
      </c>
      <c r="D71" s="2" t="s">
        <v>368</v>
      </c>
    </row>
    <row r="72" customFormat="false" ht="15" hidden="false" customHeight="false" outlineLevel="0" collapsed="false">
      <c r="A72" s="2" t="n">
        <v>51</v>
      </c>
      <c r="B72" s="2" t="s">
        <v>369</v>
      </c>
      <c r="C72" s="2" t="s">
        <v>35</v>
      </c>
      <c r="D72" s="2" t="s">
        <v>370</v>
      </c>
    </row>
    <row r="73" customFormat="false" ht="15" hidden="false" customHeight="false" outlineLevel="0" collapsed="false">
      <c r="A73" s="2" t="n">
        <v>52</v>
      </c>
      <c r="B73" s="2" t="s">
        <v>371</v>
      </c>
      <c r="C73" s="2" t="s">
        <v>233</v>
      </c>
      <c r="D73" s="2" t="s">
        <v>372</v>
      </c>
    </row>
    <row r="74" customFormat="false" ht="15" hidden="false" customHeight="false" outlineLevel="0" collapsed="false">
      <c r="A74" s="2" t="n">
        <v>52</v>
      </c>
      <c r="B74" s="2" t="s">
        <v>373</v>
      </c>
      <c r="C74" s="2" t="s">
        <v>236</v>
      </c>
      <c r="D74" s="2" t="s">
        <v>374</v>
      </c>
    </row>
    <row r="75" customFormat="false" ht="15" hidden="false" customHeight="false" outlineLevel="0" collapsed="false">
      <c r="A75" s="2" t="n">
        <v>52</v>
      </c>
      <c r="B75" s="2" t="s">
        <v>375</v>
      </c>
      <c r="C75" s="2" t="s">
        <v>35</v>
      </c>
      <c r="D75" s="2" t="s">
        <v>376</v>
      </c>
    </row>
    <row r="76" customFormat="false" ht="15" hidden="false" customHeight="false" outlineLevel="0" collapsed="false">
      <c r="A76" s="2" t="n">
        <v>53</v>
      </c>
      <c r="B76" s="2" t="s">
        <v>377</v>
      </c>
      <c r="C76" s="2" t="s">
        <v>233</v>
      </c>
      <c r="D76" s="2" t="s">
        <v>378</v>
      </c>
    </row>
    <row r="77" customFormat="false" ht="15" hidden="false" customHeight="false" outlineLevel="0" collapsed="false">
      <c r="A77" s="2" t="n">
        <v>53</v>
      </c>
      <c r="B77" s="2" t="s">
        <v>379</v>
      </c>
      <c r="C77" s="2" t="s">
        <v>236</v>
      </c>
      <c r="D77" s="2" t="s">
        <v>380</v>
      </c>
    </row>
    <row r="78" customFormat="false" ht="15" hidden="false" customHeight="false" outlineLevel="0" collapsed="false">
      <c r="A78" s="2" t="n">
        <v>53</v>
      </c>
      <c r="B78" s="2" t="s">
        <v>381</v>
      </c>
      <c r="C78" s="2" t="s">
        <v>35</v>
      </c>
      <c r="D78" s="2" t="s">
        <v>382</v>
      </c>
    </row>
    <row r="79" customFormat="false" ht="15" hidden="false" customHeight="false" outlineLevel="0" collapsed="false">
      <c r="A79" s="2" t="n">
        <v>54</v>
      </c>
      <c r="B79" s="2" t="s">
        <v>383</v>
      </c>
      <c r="C79" s="2" t="s">
        <v>233</v>
      </c>
      <c r="D79" s="2" t="s">
        <v>384</v>
      </c>
    </row>
    <row r="80" customFormat="false" ht="15" hidden="false" customHeight="false" outlineLevel="0" collapsed="false">
      <c r="A80" s="2" t="n">
        <v>54</v>
      </c>
      <c r="B80" s="2" t="s">
        <v>385</v>
      </c>
      <c r="C80" s="2" t="s">
        <v>236</v>
      </c>
      <c r="D80" s="2" t="s">
        <v>386</v>
      </c>
    </row>
    <row r="81" customFormat="false" ht="15" hidden="false" customHeight="false" outlineLevel="0" collapsed="false">
      <c r="A81" s="2" t="n">
        <v>54</v>
      </c>
      <c r="B81" s="2" t="s">
        <v>387</v>
      </c>
      <c r="C81" s="2" t="s">
        <v>35</v>
      </c>
      <c r="D81" s="2" t="s">
        <v>388</v>
      </c>
    </row>
    <row r="82" customFormat="false" ht="15" hidden="false" customHeight="false" outlineLevel="0" collapsed="false">
      <c r="A82" s="2" t="n">
        <v>55</v>
      </c>
      <c r="B82" s="2" t="s">
        <v>389</v>
      </c>
      <c r="C82" s="2" t="s">
        <v>233</v>
      </c>
      <c r="D82" s="2" t="s">
        <v>390</v>
      </c>
    </row>
    <row r="83" customFormat="false" ht="15" hidden="false" customHeight="false" outlineLevel="0" collapsed="false">
      <c r="A83" s="2" t="n">
        <v>55</v>
      </c>
      <c r="B83" s="2" t="s">
        <v>391</v>
      </c>
      <c r="C83" s="2" t="s">
        <v>236</v>
      </c>
      <c r="D83" s="2" t="s">
        <v>392</v>
      </c>
    </row>
    <row r="84" customFormat="false" ht="15" hidden="false" customHeight="false" outlineLevel="0" collapsed="false">
      <c r="A84" s="2" t="n">
        <v>55</v>
      </c>
      <c r="B84" s="2" t="s">
        <v>393</v>
      </c>
      <c r="C84" s="2" t="s">
        <v>35</v>
      </c>
      <c r="D84" s="2" t="s">
        <v>394</v>
      </c>
    </row>
    <row r="85" customFormat="false" ht="15" hidden="false" customHeight="false" outlineLevel="0" collapsed="false">
      <c r="A85" s="2" t="n">
        <v>56</v>
      </c>
      <c r="B85" s="2" t="s">
        <v>395</v>
      </c>
      <c r="C85" s="2" t="s">
        <v>35</v>
      </c>
      <c r="D85" s="2" t="s">
        <v>396</v>
      </c>
    </row>
    <row r="86" customFormat="false" ht="15" hidden="false" customHeight="false" outlineLevel="0" collapsed="false">
      <c r="A86" s="2" t="n">
        <v>57</v>
      </c>
      <c r="B86" s="2" t="s">
        <v>397</v>
      </c>
      <c r="C86" s="2" t="s">
        <v>35</v>
      </c>
      <c r="D86" s="2" t="s">
        <v>396</v>
      </c>
    </row>
    <row r="87" customFormat="false" ht="15" hidden="false" customHeight="false" outlineLevel="0" collapsed="false">
      <c r="A87" s="2" t="n">
        <v>58</v>
      </c>
      <c r="B87" s="2" t="s">
        <v>398</v>
      </c>
      <c r="C87" s="2" t="s">
        <v>233</v>
      </c>
      <c r="D87" s="2" t="s">
        <v>399</v>
      </c>
    </row>
    <row r="88" customFormat="false" ht="15" hidden="false" customHeight="false" outlineLevel="0" collapsed="false">
      <c r="A88" s="2" t="n">
        <v>58</v>
      </c>
      <c r="B88" s="2" t="s">
        <v>400</v>
      </c>
      <c r="C88" s="2" t="s">
        <v>236</v>
      </c>
      <c r="D88" s="2" t="s">
        <v>401</v>
      </c>
    </row>
    <row r="89" customFormat="false" ht="15" hidden="false" customHeight="false" outlineLevel="0" collapsed="false">
      <c r="A89" s="2" t="n">
        <v>59</v>
      </c>
      <c r="B89" s="2" t="s">
        <v>402</v>
      </c>
      <c r="C89" s="2" t="s">
        <v>35</v>
      </c>
      <c r="D89" s="2" t="s">
        <v>396</v>
      </c>
    </row>
    <row r="90" customFormat="false" ht="15" hidden="false" customHeight="false" outlineLevel="0" collapsed="false">
      <c r="A90" s="2" t="n">
        <v>60</v>
      </c>
      <c r="B90" s="2" t="s">
        <v>403</v>
      </c>
      <c r="C90" s="2" t="s">
        <v>233</v>
      </c>
      <c r="D90" s="2" t="s">
        <v>404</v>
      </c>
    </row>
    <row r="91" customFormat="false" ht="15" hidden="false" customHeight="false" outlineLevel="0" collapsed="false">
      <c r="A91" s="2" t="n">
        <v>60</v>
      </c>
      <c r="B91" s="2" t="s">
        <v>405</v>
      </c>
      <c r="C91" s="2" t="s">
        <v>236</v>
      </c>
      <c r="D91" s="2" t="s">
        <v>406</v>
      </c>
    </row>
    <row r="92" customFormat="false" ht="15" hidden="false" customHeight="false" outlineLevel="0" collapsed="false">
      <c r="A92" s="2" t="n">
        <v>61</v>
      </c>
      <c r="B92" s="2" t="s">
        <v>407</v>
      </c>
      <c r="C92" s="2" t="s">
        <v>35</v>
      </c>
      <c r="D92" s="2" t="s">
        <v>408</v>
      </c>
    </row>
    <row r="93" customFormat="false" ht="15" hidden="false" customHeight="false" outlineLevel="0" collapsed="false">
      <c r="A93" s="2" t="n">
        <v>62</v>
      </c>
      <c r="B93" s="2" t="s">
        <v>409</v>
      </c>
      <c r="C93" s="2" t="s">
        <v>35</v>
      </c>
      <c r="D93" s="2" t="s">
        <v>410</v>
      </c>
    </row>
    <row r="94" customFormat="false" ht="15" hidden="false" customHeight="false" outlineLevel="0" collapsed="false">
      <c r="A94" s="2" t="n">
        <v>63</v>
      </c>
      <c r="B94" s="2" t="s">
        <v>411</v>
      </c>
      <c r="C94" s="2" t="s">
        <v>233</v>
      </c>
      <c r="D94" s="2" t="s">
        <v>412</v>
      </c>
    </row>
    <row r="95" customFormat="false" ht="15" hidden="false" customHeight="false" outlineLevel="0" collapsed="false">
      <c r="A95" s="2" t="n">
        <v>63</v>
      </c>
      <c r="B95" s="2" t="s">
        <v>413</v>
      </c>
      <c r="C95" s="2" t="s">
        <v>236</v>
      </c>
      <c r="D95" s="2" t="s">
        <v>414</v>
      </c>
    </row>
    <row r="96" customFormat="false" ht="15" hidden="false" customHeight="false" outlineLevel="0" collapsed="false">
      <c r="A96" s="2" t="n">
        <v>63</v>
      </c>
      <c r="B96" s="2" t="s">
        <v>415</v>
      </c>
      <c r="C96" s="2" t="s">
        <v>35</v>
      </c>
      <c r="D96" s="2" t="s">
        <v>416</v>
      </c>
    </row>
    <row r="97" customFormat="false" ht="15" hidden="false" customHeight="false" outlineLevel="0" collapsed="false">
      <c r="A97" s="2" t="n">
        <v>65</v>
      </c>
      <c r="B97" s="2" t="s">
        <v>417</v>
      </c>
      <c r="C97" s="2" t="s">
        <v>233</v>
      </c>
      <c r="D97" s="2" t="s">
        <v>418</v>
      </c>
    </row>
    <row r="98" customFormat="false" ht="15" hidden="false" customHeight="false" outlineLevel="0" collapsed="false">
      <c r="A98" s="2" t="n">
        <v>65</v>
      </c>
      <c r="B98" s="2" t="s">
        <v>419</v>
      </c>
      <c r="C98" s="2" t="s">
        <v>236</v>
      </c>
      <c r="D98" s="2" t="s">
        <v>420</v>
      </c>
    </row>
    <row r="99" customFormat="false" ht="15" hidden="false" customHeight="false" outlineLevel="0" collapsed="false">
      <c r="A99" s="2" t="n">
        <v>65</v>
      </c>
      <c r="B99" s="2" t="s">
        <v>421</v>
      </c>
      <c r="C99" s="2" t="s">
        <v>239</v>
      </c>
      <c r="D99" s="2" t="s">
        <v>418</v>
      </c>
    </row>
    <row r="100" customFormat="false" ht="15" hidden="false" customHeight="false" outlineLevel="0" collapsed="false">
      <c r="A100" s="2" t="n">
        <v>65</v>
      </c>
      <c r="B100" s="2" t="s">
        <v>422</v>
      </c>
      <c r="C100" s="2" t="s">
        <v>423</v>
      </c>
      <c r="D100" s="2" t="s">
        <v>424</v>
      </c>
    </row>
    <row r="101" customFormat="false" ht="15" hidden="false" customHeight="false" outlineLevel="0" collapsed="false">
      <c r="A101" s="2" t="n">
        <v>65</v>
      </c>
      <c r="B101" s="2" t="s">
        <v>425</v>
      </c>
      <c r="C101" s="2" t="s">
        <v>35</v>
      </c>
      <c r="D101" s="2" t="s">
        <v>426</v>
      </c>
    </row>
    <row r="102" customFormat="false" ht="15" hidden="false" customHeight="false" outlineLevel="0" collapsed="false">
      <c r="A102" s="2" t="n">
        <v>66</v>
      </c>
      <c r="B102" s="2" t="s">
        <v>427</v>
      </c>
      <c r="C102" s="2" t="s">
        <v>233</v>
      </c>
      <c r="D102" s="2" t="s">
        <v>428</v>
      </c>
    </row>
    <row r="103" customFormat="false" ht="15" hidden="false" customHeight="false" outlineLevel="0" collapsed="false">
      <c r="A103" s="2" t="n">
        <v>66</v>
      </c>
      <c r="B103" s="2" t="s">
        <v>429</v>
      </c>
      <c r="C103" s="2" t="s">
        <v>236</v>
      </c>
      <c r="D103" s="2" t="s">
        <v>430</v>
      </c>
    </row>
    <row r="104" customFormat="false" ht="15" hidden="false" customHeight="false" outlineLevel="0" collapsed="false">
      <c r="A104" s="2" t="n">
        <v>66</v>
      </c>
      <c r="B104" s="2" t="s">
        <v>431</v>
      </c>
      <c r="C104" s="2" t="s">
        <v>239</v>
      </c>
      <c r="D104" s="2" t="s">
        <v>432</v>
      </c>
    </row>
    <row r="105" customFormat="false" ht="15" hidden="false" customHeight="false" outlineLevel="0" collapsed="false">
      <c r="A105" s="2" t="n">
        <v>66</v>
      </c>
      <c r="B105" s="2" t="s">
        <v>433</v>
      </c>
      <c r="C105" s="2" t="s">
        <v>423</v>
      </c>
      <c r="D105" s="2" t="s">
        <v>434</v>
      </c>
    </row>
    <row r="106" customFormat="false" ht="15" hidden="false" customHeight="false" outlineLevel="0" collapsed="false">
      <c r="A106" s="2" t="n">
        <v>66</v>
      </c>
      <c r="B106" s="2" t="s">
        <v>435</v>
      </c>
      <c r="C106" s="2" t="s">
        <v>35</v>
      </c>
      <c r="D106" s="2" t="s">
        <v>436</v>
      </c>
    </row>
    <row r="107" customFormat="false" ht="15" hidden="false" customHeight="false" outlineLevel="0" collapsed="false">
      <c r="A107" s="2" t="n">
        <v>67</v>
      </c>
      <c r="B107" s="2" t="s">
        <v>437</v>
      </c>
      <c r="C107" s="2" t="s">
        <v>233</v>
      </c>
      <c r="D107" s="2" t="s">
        <v>438</v>
      </c>
    </row>
    <row r="108" customFormat="false" ht="15" hidden="false" customHeight="false" outlineLevel="0" collapsed="false">
      <c r="A108" s="2" t="n">
        <v>67</v>
      </c>
      <c r="B108" s="2" t="s">
        <v>439</v>
      </c>
      <c r="C108" s="2" t="s">
        <v>236</v>
      </c>
      <c r="D108" s="2" t="s">
        <v>440</v>
      </c>
    </row>
    <row r="109" customFormat="false" ht="15" hidden="false" customHeight="false" outlineLevel="0" collapsed="false">
      <c r="A109" s="2" t="n">
        <v>67</v>
      </c>
      <c r="B109" s="2" t="s">
        <v>441</v>
      </c>
      <c r="C109" s="2" t="s">
        <v>35</v>
      </c>
      <c r="D109" s="2" t="s">
        <v>442</v>
      </c>
    </row>
    <row r="110" customFormat="false" ht="15" hidden="false" customHeight="false" outlineLevel="0" collapsed="false">
      <c r="A110" s="2" t="n">
        <v>68</v>
      </c>
      <c r="B110" s="2" t="s">
        <v>443</v>
      </c>
      <c r="C110" s="2" t="s">
        <v>233</v>
      </c>
      <c r="D110" s="2" t="s">
        <v>444</v>
      </c>
    </row>
    <row r="111" customFormat="false" ht="15" hidden="false" customHeight="false" outlineLevel="0" collapsed="false">
      <c r="A111" s="2" t="n">
        <v>68</v>
      </c>
      <c r="B111" s="2" t="s">
        <v>445</v>
      </c>
      <c r="C111" s="2" t="s">
        <v>236</v>
      </c>
      <c r="D111" s="2" t="s">
        <v>446</v>
      </c>
    </row>
    <row r="112" customFormat="false" ht="15" hidden="false" customHeight="false" outlineLevel="0" collapsed="false">
      <c r="A112" s="2" t="n">
        <v>68</v>
      </c>
      <c r="B112" s="2" t="s">
        <v>447</v>
      </c>
      <c r="C112" s="2" t="s">
        <v>35</v>
      </c>
      <c r="D112" s="2" t="s">
        <v>448</v>
      </c>
    </row>
    <row r="113" customFormat="false" ht="15" hidden="false" customHeight="false" outlineLevel="0" collapsed="false">
      <c r="A113" s="2" t="n">
        <v>69</v>
      </c>
      <c r="B113" s="2" t="s">
        <v>449</v>
      </c>
      <c r="C113" s="2" t="s">
        <v>35</v>
      </c>
      <c r="D113" s="2" t="s">
        <v>450</v>
      </c>
    </row>
    <row r="114" customFormat="false" ht="15" hidden="false" customHeight="false" outlineLevel="0" collapsed="false">
      <c r="A114" s="2" t="n">
        <v>70</v>
      </c>
      <c r="B114" s="2" t="s">
        <v>451</v>
      </c>
      <c r="C114" s="2" t="s">
        <v>35</v>
      </c>
      <c r="D114" s="2" t="s">
        <v>452</v>
      </c>
    </row>
    <row r="115" customFormat="false" ht="15" hidden="false" customHeight="false" outlineLevel="0" collapsed="false">
      <c r="A115" s="2" t="n">
        <v>71</v>
      </c>
      <c r="B115" s="2" t="s">
        <v>453</v>
      </c>
      <c r="C115" s="2" t="s">
        <v>233</v>
      </c>
      <c r="D115" s="2" t="s">
        <v>454</v>
      </c>
    </row>
    <row r="116" customFormat="false" ht="15" hidden="false" customHeight="false" outlineLevel="0" collapsed="false">
      <c r="A116" s="2" t="n">
        <v>71</v>
      </c>
      <c r="B116" s="2" t="s">
        <v>455</v>
      </c>
      <c r="C116" s="2" t="s">
        <v>236</v>
      </c>
      <c r="D116" s="2" t="s">
        <v>456</v>
      </c>
    </row>
    <row r="117" customFormat="false" ht="15" hidden="false" customHeight="false" outlineLevel="0" collapsed="false">
      <c r="A117" s="2" t="n">
        <v>71</v>
      </c>
      <c r="B117" s="2" t="s">
        <v>457</v>
      </c>
      <c r="C117" s="2" t="s">
        <v>35</v>
      </c>
      <c r="D117" s="2" t="s">
        <v>458</v>
      </c>
    </row>
    <row r="118" customFormat="false" ht="15" hidden="false" customHeight="false" outlineLevel="0" collapsed="false">
      <c r="A118" s="2" t="n">
        <v>73</v>
      </c>
      <c r="B118" s="2" t="s">
        <v>459</v>
      </c>
      <c r="C118" s="2" t="s">
        <v>233</v>
      </c>
      <c r="D118" s="2" t="s">
        <v>460</v>
      </c>
    </row>
    <row r="119" customFormat="false" ht="15" hidden="false" customHeight="false" outlineLevel="0" collapsed="false">
      <c r="A119" s="2" t="n">
        <v>73</v>
      </c>
      <c r="B119" s="2" t="s">
        <v>461</v>
      </c>
      <c r="C119" s="2" t="s">
        <v>236</v>
      </c>
      <c r="D119" s="2" t="s">
        <v>462</v>
      </c>
    </row>
    <row r="120" customFormat="false" ht="15" hidden="false" customHeight="false" outlineLevel="0" collapsed="false">
      <c r="A120" s="2" t="n">
        <v>73</v>
      </c>
      <c r="B120" s="2" t="s">
        <v>463</v>
      </c>
      <c r="C120" s="2" t="s">
        <v>35</v>
      </c>
      <c r="D120" s="2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2026-06-11T19:23:30Z</dcterms:created>
  <dc:creator>openpyxl</dc:creator>
  <dc:description/>
  <dc:language>en-US</dc:language>
  <cp:lastModifiedBy/>
  <dcterms:modified xsi:type="dcterms:W3CDTF">2026-06-12T15:54:37Z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